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HGWC\Aalim Course\Books and Resources\"/>
    </mc:Choice>
  </mc:AlternateContent>
  <xr:revisionPtr revIDLastSave="0" documentId="13_ncr:1_{B045F38E-79E7-45FD-84DB-96E29C4D8D32}" xr6:coauthVersionLast="47" xr6:coauthVersionMax="47" xr10:uidLastSave="{00000000-0000-0000-0000-000000000000}"/>
  <bookViews>
    <workbookView xWindow="-120" yWindow="-120" windowWidth="24240" windowHeight="13140" xr2:uid="{0CB986DA-EAA0-487E-8422-15F5F0704A7F}"/>
  </bookViews>
  <sheets>
    <sheet name="Base - Template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E31" i="1"/>
  <c r="G31" i="1"/>
  <c r="H31" i="1"/>
  <c r="F31" i="1"/>
  <c r="F30" i="1"/>
  <c r="I31" i="1"/>
  <c r="I30" i="1"/>
  <c r="D27" i="1"/>
  <c r="E27" i="1"/>
  <c r="G27" i="1"/>
  <c r="H27" i="1"/>
  <c r="F27" i="1"/>
  <c r="F26" i="1"/>
  <c r="I27" i="1"/>
  <c r="I26" i="1"/>
  <c r="D33" i="1"/>
  <c r="E33" i="1"/>
  <c r="F33" i="1"/>
  <c r="G33" i="1"/>
  <c r="H33" i="1"/>
  <c r="I33" i="1"/>
  <c r="F15" i="1"/>
  <c r="D57" i="1"/>
  <c r="D56" i="1"/>
  <c r="D55" i="1"/>
  <c r="F57" i="1"/>
  <c r="F56" i="1"/>
  <c r="F55" i="1"/>
  <c r="H57" i="1"/>
  <c r="H56" i="1"/>
  <c r="H55" i="1"/>
  <c r="D50" i="1"/>
  <c r="E50" i="1"/>
  <c r="F50" i="1"/>
  <c r="G50" i="1"/>
  <c r="H50" i="1"/>
  <c r="I50" i="1"/>
  <c r="E44" i="1"/>
  <c r="F44" i="1"/>
  <c r="G44" i="1"/>
  <c r="H44" i="1"/>
  <c r="I44" i="1"/>
  <c r="M70" i="1"/>
  <c r="L70" i="1"/>
  <c r="K70" i="1"/>
  <c r="J70" i="1"/>
  <c r="I70" i="1"/>
  <c r="H70" i="1"/>
  <c r="G70" i="1"/>
  <c r="F70" i="1"/>
  <c r="E70" i="1"/>
  <c r="D70" i="1"/>
  <c r="M69" i="1"/>
  <c r="L69" i="1"/>
  <c r="K69" i="1"/>
  <c r="J69" i="1"/>
  <c r="E69" i="1"/>
  <c r="D69" i="1"/>
  <c r="M68" i="1"/>
  <c r="L68" i="1"/>
  <c r="K68" i="1"/>
  <c r="J68" i="1"/>
  <c r="E68" i="1"/>
  <c r="D68" i="1"/>
  <c r="M67" i="1"/>
  <c r="L67" i="1"/>
  <c r="K67" i="1"/>
  <c r="J67" i="1"/>
  <c r="I67" i="1"/>
  <c r="H67" i="1"/>
  <c r="G67" i="1"/>
  <c r="F67" i="1"/>
  <c r="E67" i="1"/>
  <c r="D67" i="1"/>
  <c r="M65" i="1"/>
  <c r="L65" i="1"/>
  <c r="K65" i="1"/>
  <c r="J65" i="1"/>
  <c r="I65" i="1"/>
  <c r="H65" i="1"/>
  <c r="G65" i="1"/>
  <c r="F65" i="1"/>
  <c r="E65" i="1"/>
  <c r="D65" i="1"/>
  <c r="M64" i="1"/>
  <c r="L64" i="1"/>
  <c r="K64" i="1"/>
  <c r="J64" i="1"/>
  <c r="I64" i="1"/>
  <c r="H64" i="1"/>
  <c r="G64" i="1"/>
  <c r="F64" i="1"/>
  <c r="E64" i="1"/>
  <c r="D64" i="1"/>
  <c r="M63" i="1"/>
  <c r="L63" i="1"/>
  <c r="K63" i="1"/>
  <c r="J63" i="1"/>
  <c r="I63" i="1"/>
  <c r="H63" i="1"/>
  <c r="G63" i="1"/>
  <c r="F63" i="1"/>
  <c r="E63" i="1"/>
  <c r="D63" i="1"/>
  <c r="M62" i="1"/>
  <c r="L62" i="1"/>
  <c r="K62" i="1"/>
  <c r="J62" i="1"/>
  <c r="I62" i="1"/>
  <c r="H62" i="1"/>
  <c r="G62" i="1"/>
  <c r="F62" i="1"/>
  <c r="E62" i="1"/>
  <c r="D62" i="1"/>
  <c r="G61" i="1"/>
  <c r="K61" i="1"/>
  <c r="M61" i="1"/>
  <c r="L61" i="1"/>
  <c r="J61" i="1"/>
  <c r="I61" i="1"/>
  <c r="H61" i="1"/>
  <c r="F61" i="1"/>
  <c r="E61" i="1"/>
  <c r="D61" i="1"/>
  <c r="U11" i="1"/>
  <c r="H37" i="1" s="1"/>
  <c r="G37" i="1"/>
  <c r="G34" i="1"/>
  <c r="D34" i="1"/>
  <c r="H30" i="1"/>
  <c r="G30" i="1"/>
  <c r="E30" i="1"/>
  <c r="D30" i="1"/>
  <c r="I29" i="1"/>
  <c r="H29" i="1"/>
  <c r="G29" i="1"/>
  <c r="F29" i="1"/>
  <c r="E29" i="1"/>
  <c r="D29" i="1"/>
  <c r="H26" i="1"/>
  <c r="G26" i="1"/>
  <c r="E26" i="1"/>
  <c r="D26" i="1"/>
  <c r="I25" i="1"/>
  <c r="H25" i="1"/>
  <c r="G25" i="1"/>
  <c r="F25" i="1"/>
  <c r="E25" i="1"/>
  <c r="D25" i="1"/>
  <c r="G22" i="1"/>
  <c r="F22" i="1"/>
  <c r="G21" i="1"/>
  <c r="F21" i="1"/>
  <c r="G19" i="1"/>
  <c r="F19" i="1"/>
  <c r="G18" i="1"/>
  <c r="F18" i="1"/>
  <c r="G17" i="1"/>
  <c r="F17" i="1"/>
  <c r="G15" i="1"/>
  <c r="G14" i="1"/>
  <c r="F14" i="1"/>
  <c r="G13" i="1"/>
  <c r="F13" i="1"/>
  <c r="G11" i="1"/>
  <c r="F11" i="1"/>
  <c r="G10" i="1"/>
  <c r="F10" i="1"/>
  <c r="G9" i="1"/>
  <c r="F9" i="1"/>
  <c r="G7" i="1"/>
  <c r="F7" i="1"/>
  <c r="G6" i="1"/>
  <c r="F6" i="1"/>
  <c r="G5" i="1"/>
  <c r="F5" i="1"/>
  <c r="L3" i="1"/>
  <c r="N17" i="1" s="1"/>
  <c r="E3" i="1"/>
  <c r="D3" i="1"/>
  <c r="M14" i="1" l="1"/>
  <c r="M19" i="1"/>
  <c r="M15" i="1"/>
  <c r="N13" i="1"/>
  <c r="M17" i="1"/>
  <c r="N15" i="1"/>
  <c r="M13" i="1"/>
  <c r="M18" i="1"/>
  <c r="L18" i="1"/>
  <c r="I37" i="1"/>
  <c r="D22" i="1"/>
  <c r="D21" i="1"/>
  <c r="D19" i="1"/>
  <c r="D18" i="1"/>
  <c r="D17" i="1"/>
  <c r="D15" i="1"/>
  <c r="D14" i="1"/>
  <c r="D13" i="1"/>
  <c r="D11" i="1"/>
  <c r="D10" i="1"/>
  <c r="D9" i="1"/>
  <c r="D7" i="1"/>
  <c r="D6" i="1"/>
  <c r="D5" i="1"/>
  <c r="N22" i="1"/>
  <c r="M22" i="1"/>
  <c r="K22" i="1"/>
  <c r="J22" i="1"/>
  <c r="B22" i="1"/>
  <c r="A22" i="1"/>
  <c r="N21" i="1"/>
  <c r="M21" i="1"/>
  <c r="K21" i="1"/>
  <c r="J21" i="1"/>
  <c r="B21" i="1"/>
  <c r="A21" i="1"/>
  <c r="J19" i="1"/>
  <c r="B19" i="1"/>
  <c r="A19" i="1"/>
  <c r="J18" i="1"/>
  <c r="B18" i="1"/>
  <c r="A18" i="1"/>
  <c r="K17" i="1"/>
  <c r="J17" i="1"/>
  <c r="B17" i="1"/>
  <c r="A17" i="1"/>
  <c r="K15" i="1"/>
  <c r="J15" i="1"/>
  <c r="B15" i="1"/>
  <c r="A15" i="1"/>
  <c r="J14" i="1"/>
  <c r="B14" i="1"/>
  <c r="A14" i="1"/>
  <c r="K13" i="1"/>
  <c r="J13" i="1"/>
  <c r="B13" i="1"/>
  <c r="A13" i="1"/>
  <c r="M11" i="1"/>
  <c r="J11" i="1"/>
  <c r="B11" i="1"/>
  <c r="A11" i="1"/>
  <c r="M10" i="1"/>
  <c r="J10" i="1"/>
  <c r="B10" i="1"/>
  <c r="A10" i="1"/>
  <c r="N9" i="1"/>
  <c r="M9" i="1"/>
  <c r="K9" i="1"/>
  <c r="J9" i="1"/>
  <c r="B9" i="1"/>
  <c r="A9" i="1"/>
  <c r="N7" i="1"/>
  <c r="M7" i="1"/>
  <c r="K7" i="1"/>
  <c r="J7" i="1"/>
  <c r="B7" i="1"/>
  <c r="A7" i="1"/>
  <c r="M6" i="1"/>
  <c r="J6" i="1"/>
  <c r="B6" i="1"/>
  <c r="A6" i="1"/>
  <c r="N5" i="1"/>
  <c r="M5" i="1"/>
  <c r="K5" i="1"/>
  <c r="J5" i="1"/>
  <c r="B5" i="1"/>
  <c r="A5" i="1"/>
  <c r="L19" i="1"/>
  <c r="L17" i="1"/>
  <c r="L15" i="1"/>
  <c r="L14" i="1"/>
  <c r="L13" i="1"/>
  <c r="I38" i="1"/>
  <c r="H38" i="1"/>
  <c r="L5" i="1" l="1"/>
  <c r="I5" i="1"/>
  <c r="H5" i="1"/>
  <c r="E5" i="1"/>
  <c r="L6" i="1"/>
  <c r="I6" i="1"/>
  <c r="H6" i="1"/>
  <c r="E6" i="1"/>
  <c r="L7" i="1"/>
  <c r="I7" i="1"/>
  <c r="H7" i="1"/>
  <c r="E7" i="1"/>
  <c r="L9" i="1"/>
  <c r="I9" i="1"/>
  <c r="H9" i="1"/>
  <c r="E9" i="1"/>
  <c r="L10" i="1"/>
  <c r="I10" i="1"/>
  <c r="H10" i="1"/>
  <c r="E10" i="1"/>
  <c r="L11" i="1"/>
  <c r="I11" i="1"/>
  <c r="H11" i="1"/>
  <c r="E11" i="1"/>
  <c r="I13" i="1"/>
  <c r="H13" i="1"/>
  <c r="E13" i="1"/>
  <c r="I14" i="1"/>
  <c r="H14" i="1"/>
  <c r="E14" i="1"/>
  <c r="I15" i="1"/>
  <c r="H15" i="1"/>
  <c r="E15" i="1"/>
  <c r="I17" i="1"/>
  <c r="H17" i="1"/>
  <c r="E17" i="1"/>
  <c r="I18" i="1"/>
  <c r="H18" i="1"/>
  <c r="E18" i="1"/>
  <c r="I19" i="1"/>
  <c r="H19" i="1"/>
  <c r="E19" i="1"/>
  <c r="L21" i="1"/>
  <c r="I21" i="1"/>
  <c r="H21" i="1"/>
  <c r="E21" i="1"/>
  <c r="L22" i="1"/>
  <c r="I22" i="1"/>
  <c r="H22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D32" authorId="0" shapeId="0" xr:uid="{C8C4C198-0396-4014-A13E-61E8F8FADA56}">
      <text>
        <r>
          <rPr>
            <b/>
            <sz val="9"/>
            <color indexed="81"/>
            <rFont val="Tahoma"/>
            <family val="2"/>
          </rPr>
          <t>أَفْعَلُ
 pattern for both gender and number. If used as an attribute then other pattern applicable.
The Plural has two options</t>
        </r>
      </text>
    </comment>
    <comment ref="D36" authorId="0" shapeId="0" xr:uid="{543FC738-7623-4259-9449-1F2826D3AF4D}">
      <text>
        <r>
          <rPr>
            <b/>
            <sz val="9"/>
            <color indexed="81"/>
            <rFont val="Tahoma"/>
            <family val="2"/>
          </rPr>
          <t>Comman for Masculine &amp; Feminine. (ة) is used for much occurance. E.g.
مكتبة, مدرسة</t>
        </r>
      </text>
    </comment>
    <comment ref="D40" authorId="0" shapeId="0" xr:uid="{4A2B8402-A059-4C27-A9DC-F68A3E672DED}">
      <text>
        <r>
          <rPr>
            <b/>
            <sz val="9"/>
            <color indexed="81"/>
            <rFont val="Tahoma"/>
            <family val="2"/>
          </rPr>
          <t>Any one of the following pattern</t>
        </r>
      </text>
    </comment>
    <comment ref="D46" authorId="0" shapeId="0" xr:uid="{B44BF9F9-73D1-4D0E-BD47-B5580A327EDB}">
      <text>
        <r>
          <rPr>
            <b/>
            <sz val="9"/>
            <color indexed="81"/>
            <rFont val="Tahoma"/>
            <family val="2"/>
          </rPr>
          <t>Any one of the following pattern</t>
        </r>
      </text>
    </comment>
    <comment ref="D52" authorId="0" shapeId="0" xr:uid="{1E17986C-299E-486A-A138-08524803675A}">
      <text>
        <r>
          <rPr>
            <b/>
            <sz val="9"/>
            <color indexed="81"/>
            <rFont val="Tahoma"/>
            <family val="2"/>
          </rPr>
          <t>Any one of the following pattern</t>
        </r>
      </text>
    </comment>
    <comment ref="N63" authorId="0" shapeId="0" xr:uid="{B85EC6C7-D3E8-4D7F-8E8D-E624650C5F87}">
      <text>
        <r>
          <rPr>
            <b/>
            <sz val="9"/>
            <color indexed="81"/>
            <rFont val="Tahoma"/>
            <family val="2"/>
          </rPr>
          <t>Two or More People required</t>
        </r>
      </text>
    </comment>
    <comment ref="N64" authorId="0" shapeId="0" xr:uid="{C7465636-040D-476E-BA30-8B7319AE1715}">
      <text>
        <r>
          <rPr>
            <b/>
            <sz val="9"/>
            <color indexed="81"/>
            <rFont val="Tahoma"/>
            <family val="2"/>
          </rPr>
          <t>Verbs which are done with hardship</t>
        </r>
      </text>
    </comment>
    <comment ref="N67" authorId="0" shapeId="0" xr:uid="{D93A8C88-84A3-4EB2-B037-1FB6D6E24BB2}">
      <text>
        <r>
          <rPr>
            <b/>
            <sz val="9"/>
            <color indexed="81"/>
            <rFont val="Tahoma"/>
            <family val="2"/>
          </rPr>
          <t>Laazim Verbs only in this Bab</t>
        </r>
      </text>
    </comment>
    <comment ref="N68" authorId="0" shapeId="0" xr:uid="{0525F006-B968-401E-9555-99F18CB5F3F9}">
      <text>
        <r>
          <rPr>
            <b/>
            <sz val="9"/>
            <color indexed="81"/>
            <rFont val="Tahoma"/>
            <family val="2"/>
          </rPr>
          <t>The additional letter ت may change to ط if ف kalima has BOLD LETTER</t>
        </r>
      </text>
    </comment>
    <comment ref="N69" authorId="0" shapeId="0" xr:uid="{FF0C4F86-2D29-4EF6-BC32-D091089C9192}">
      <text>
        <r>
          <rPr>
            <b/>
            <sz val="9"/>
            <color indexed="81"/>
            <rFont val="Tahoma"/>
            <family val="2"/>
          </rPr>
          <t>Verbs to denote Colors or Body defects</t>
        </r>
      </text>
    </comment>
    <comment ref="N70" authorId="0" shapeId="0" xr:uid="{E711215F-188B-4717-9CFF-C6479BF32A91}">
      <text>
        <r>
          <rPr>
            <b/>
            <sz val="9"/>
            <color indexed="81"/>
            <rFont val="Tahoma"/>
            <family val="2"/>
          </rPr>
          <t>Verbs denoting SEEKING Quality</t>
        </r>
      </text>
    </comment>
  </commentList>
</comments>
</file>

<file path=xl/sharedStrings.xml><?xml version="1.0" encoding="utf-8"?>
<sst xmlns="http://schemas.openxmlformats.org/spreadsheetml/2006/main" count="124" uniqueCount="93">
  <si>
    <t>َ</t>
  </si>
  <si>
    <t>ِ</t>
  </si>
  <si>
    <t>ُ</t>
  </si>
  <si>
    <t>ْ</t>
  </si>
  <si>
    <t>ّ</t>
  </si>
  <si>
    <t>ً</t>
  </si>
  <si>
    <t>ٍ</t>
  </si>
  <si>
    <t>ٌ</t>
  </si>
  <si>
    <t xml:space="preserve"> / </t>
  </si>
  <si>
    <t>فَتَحَ-يَفْتَحُ</t>
  </si>
  <si>
    <t>ا</t>
  </si>
  <si>
    <t>و</t>
  </si>
  <si>
    <t>ت</t>
  </si>
  <si>
    <t>ن</t>
  </si>
  <si>
    <t>م</t>
  </si>
  <si>
    <t>ي</t>
  </si>
  <si>
    <t>أ</t>
  </si>
  <si>
    <t>ة</t>
  </si>
  <si>
    <t>ل</t>
  </si>
  <si>
    <t>ى</t>
  </si>
  <si>
    <t>س</t>
  </si>
  <si>
    <t>ضَرَبَ-يَضْرِبُ</t>
  </si>
  <si>
    <t xml:space="preserve">لَمْ </t>
  </si>
  <si>
    <t>نَصَرَ-يَنْصُرُ</t>
  </si>
  <si>
    <t>مجزوم المضرع</t>
  </si>
  <si>
    <t>منصوب المضارع</t>
  </si>
  <si>
    <t>لام تأكيد با نون تأكيد ثقيلة</t>
  </si>
  <si>
    <t>لام تأكيد با نون تأكيد خفيفة</t>
  </si>
  <si>
    <t>فعل الامر</t>
  </si>
  <si>
    <t>فعل الامر با نون تأكيد ثقيلة</t>
  </si>
  <si>
    <t>فعل الامر با نون تأكيد خفيفة</t>
  </si>
  <si>
    <t>سَمِعَ-يَسْمَعُ</t>
  </si>
  <si>
    <t>كَرُمَ-يَكْرُمُ</t>
  </si>
  <si>
    <t>حَسِبَ-يَحْسِبُ</t>
  </si>
  <si>
    <t>Maazi</t>
  </si>
  <si>
    <t>Muzare</t>
  </si>
  <si>
    <t>Amr</t>
  </si>
  <si>
    <t>Zarf Zaman</t>
  </si>
  <si>
    <t>اسم الفاعل</t>
  </si>
  <si>
    <t>اسم المفعول</t>
  </si>
  <si>
    <t>اسم التفضيل</t>
  </si>
  <si>
    <t>اسم الظرف</t>
  </si>
  <si>
    <t>صفة مشبة</t>
  </si>
  <si>
    <t>فَعْلَانُ</t>
  </si>
  <si>
    <t>أَفْعَلُ</t>
  </si>
  <si>
    <t>فَعُوْلٌ</t>
  </si>
  <si>
    <t>فُعَالٌ</t>
  </si>
  <si>
    <t>فَعِيْلٌ</t>
  </si>
  <si>
    <t>اسم مبالغة</t>
  </si>
  <si>
    <t>فُعُّوْلٌ</t>
  </si>
  <si>
    <t>فَعُّوْلٌ</t>
  </si>
  <si>
    <t>فَاعُوْلٌ</t>
  </si>
  <si>
    <t>فُعَّالٌ</t>
  </si>
  <si>
    <t>فَعَّالٌ</t>
  </si>
  <si>
    <t>اسم الآلة</t>
  </si>
  <si>
    <t>مِفْعَالٌ</t>
  </si>
  <si>
    <t>مِفْعَلَةٌ</t>
  </si>
  <si>
    <t>مِفْعَلٌ</t>
  </si>
  <si>
    <t>مِفْعَالَانِ</t>
  </si>
  <si>
    <t>مِفْعَلَتَانِ</t>
  </si>
  <si>
    <t>مِفْعَلَانِ</t>
  </si>
  <si>
    <t>مَفَاعِيْلُ</t>
  </si>
  <si>
    <t>مَفَاعِلُ</t>
  </si>
  <si>
    <t>ثلاثى مزيد فيه - صرف صغير</t>
  </si>
  <si>
    <t>إكراما</t>
  </si>
  <si>
    <t>افعال</t>
  </si>
  <si>
    <t>تصريفا</t>
  </si>
  <si>
    <t>تفعيل</t>
  </si>
  <si>
    <t>مقاتلة</t>
  </si>
  <si>
    <t>مفاعلة</t>
  </si>
  <si>
    <t>تفهّما</t>
  </si>
  <si>
    <t>تفعُّل</t>
  </si>
  <si>
    <t>تغافلا</t>
  </si>
  <si>
    <t>تفاعل</t>
  </si>
  <si>
    <t>انكسارا</t>
  </si>
  <si>
    <t>انفعال</t>
  </si>
  <si>
    <t>اجتنابا</t>
  </si>
  <si>
    <t>افتعال</t>
  </si>
  <si>
    <t>احمرارا</t>
  </si>
  <si>
    <t>افعلال</t>
  </si>
  <si>
    <t>استغفارا</t>
  </si>
  <si>
    <t>استفعال</t>
  </si>
  <si>
    <t>Ism Zarf</t>
  </si>
  <si>
    <t>ر</t>
  </si>
  <si>
    <t>ك</t>
  </si>
  <si>
    <t xml:space="preserve">لَنْ </t>
  </si>
  <si>
    <t>Rafa'</t>
  </si>
  <si>
    <t>الفعل الماضي المرفوع</t>
  </si>
  <si>
    <t>الفعل المضارع المرفوع</t>
  </si>
  <si>
    <t>الفعل الماضي المجهول</t>
  </si>
  <si>
    <t>الفعل المضارع المجهول</t>
  </si>
  <si>
    <t>Nasab</t>
  </si>
  <si>
    <t>Jarr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</si>
</sst>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9"/>
      <color indexed="81"/>
      <name val="Tahoma"/>
      <family val="2"/>
    </font>
    <font>
      <sz val="8"/>
      <color rgb="FF000000"/>
      <name val="Segoe UI"/>
      <family val="2"/>
    </font>
    <font>
      <b/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quotePrefix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quotePrefix="1" applyFont="1"/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fmlaLink="$Q$61" lockText="1" noThreeD="1"/>
</file>

<file path=xl/ctrlProps/ctrlProp2.xml><?xml version="1.0" encoding="utf-8"?>
<formControlPr xmlns="http://schemas.microsoft.com/office/spreadsheetml/2009/9/main" objectType="CheckBox" checked="Checked" fmlaLink="$Q$62" lockText="1" noThreeD="1"/>
</file>

<file path=xl/ctrlProps/ctrlProp3.xml><?xml version="1.0" encoding="utf-8"?>
<formControlPr xmlns="http://schemas.microsoft.com/office/spreadsheetml/2009/9/main" objectType="CheckBox" checked="Checked" fmlaLink="$Q$63" lockText="1" noThreeD="1"/>
</file>

<file path=xl/ctrlProps/ctrlProp4.xml><?xml version="1.0" encoding="utf-8"?>
<formControlPr xmlns="http://schemas.microsoft.com/office/spreadsheetml/2009/9/main" objectType="CheckBox" checked="Checked" fmlaLink="$Q$64" lockText="1" noThreeD="1"/>
</file>

<file path=xl/ctrlProps/ctrlProp5.xml><?xml version="1.0" encoding="utf-8"?>
<formControlPr xmlns="http://schemas.microsoft.com/office/spreadsheetml/2009/9/main" objectType="CheckBox" checked="Checked" fmlaLink="$Q$65" lockText="1" noThreeD="1"/>
</file>

<file path=xl/ctrlProps/ctrlProp6.xml><?xml version="1.0" encoding="utf-8"?>
<formControlPr xmlns="http://schemas.microsoft.com/office/spreadsheetml/2009/9/main" objectType="CheckBox" checked="Checked" fmlaLink="$Q$67" lockText="1" noThreeD="1"/>
</file>

<file path=xl/ctrlProps/ctrlProp7.xml><?xml version="1.0" encoding="utf-8"?>
<formControlPr xmlns="http://schemas.microsoft.com/office/spreadsheetml/2009/9/main" objectType="CheckBox" checked="Checked" fmlaLink="$Q$68" lockText="1" noThreeD="1"/>
</file>

<file path=xl/ctrlProps/ctrlProp8.xml><?xml version="1.0" encoding="utf-8"?>
<formControlPr xmlns="http://schemas.microsoft.com/office/spreadsheetml/2009/9/main" objectType="CheckBox" checked="Checked" fmlaLink="$Q$69" lockText="1" noThreeD="1"/>
</file>

<file path=xl/ctrlProps/ctrlProp9.xml><?xml version="1.0" encoding="utf-8"?>
<formControlPr xmlns="http://schemas.microsoft.com/office/spreadsheetml/2009/9/main" objectType="CheckBox" checked="Checked" fmlaLink="$Q$70" lockText="1" noThreeD="1"/>
</file>

<file path=xl/ctrlProps/ctrlProp10.xml><?xml version="1.0" encoding="utf-8"?>
<formControlPr xmlns="http://schemas.microsoft.com/office/spreadsheetml/2009/9/main" objectType="CheckBox" fmlaLink="$E$42" lockText="1" noThreeD="1"/>
</file>

<file path=xl/ctrlProps/ctrlProp11.xml><?xml version="1.0" encoding="utf-8"?>
<formControlPr xmlns="http://schemas.microsoft.com/office/spreadsheetml/2009/9/main" objectType="CheckBox" fmlaLink="$F$42" lockText="1" noThreeD="1"/>
</file>

<file path=xl/ctrlProps/ctrlProp12.xml><?xml version="1.0" encoding="utf-8"?>
<formControlPr xmlns="http://schemas.microsoft.com/office/spreadsheetml/2009/9/main" objectType="CheckBox" fmlaLink="$G$42" lockText="1" noThreeD="1"/>
</file>

<file path=xl/ctrlProps/ctrlProp13.xml><?xml version="1.0" encoding="utf-8"?>
<formControlPr xmlns="http://schemas.microsoft.com/office/spreadsheetml/2009/9/main" objectType="CheckBox" fmlaLink="$H$42" lockText="1" noThreeD="1"/>
</file>

<file path=xl/ctrlProps/ctrlProp14.xml><?xml version="1.0" encoding="utf-8"?>
<formControlPr xmlns="http://schemas.microsoft.com/office/spreadsheetml/2009/9/main" objectType="CheckBox" fmlaLink="$I$42" lockText="1" noThreeD="1"/>
</file>

<file path=xl/ctrlProps/ctrlProp15.xml><?xml version="1.0" encoding="utf-8"?>
<formControlPr xmlns="http://schemas.microsoft.com/office/spreadsheetml/2009/9/main" objectType="CheckBox" fmlaLink="$E$48" lockText="1" noThreeD="1"/>
</file>

<file path=xl/ctrlProps/ctrlProp16.xml><?xml version="1.0" encoding="utf-8"?>
<formControlPr xmlns="http://schemas.microsoft.com/office/spreadsheetml/2009/9/main" objectType="CheckBox" fmlaLink="$F$48" lockText="1" noThreeD="1"/>
</file>

<file path=xl/ctrlProps/ctrlProp17.xml><?xml version="1.0" encoding="utf-8"?>
<formControlPr xmlns="http://schemas.microsoft.com/office/spreadsheetml/2009/9/main" objectType="CheckBox" fmlaLink="$G$48" lockText="1" noThreeD="1"/>
</file>

<file path=xl/ctrlProps/ctrlProp18.xml><?xml version="1.0" encoding="utf-8"?>
<formControlPr xmlns="http://schemas.microsoft.com/office/spreadsheetml/2009/9/main" objectType="CheckBox" fmlaLink="$H$48" lockText="1" noThreeD="1"/>
</file>

<file path=xl/ctrlProps/ctrlProp19.xml><?xml version="1.0" encoding="utf-8"?>
<formControlPr xmlns="http://schemas.microsoft.com/office/spreadsheetml/2009/9/main" objectType="CheckBox" fmlaLink="$I$48" lockText="1" noThreeD="1"/>
</file>

<file path=xl/ctrlProps/ctrlProp20.xml><?xml version="1.0" encoding="utf-8"?>
<formControlPr xmlns="http://schemas.microsoft.com/office/spreadsheetml/2009/9/main" objectType="CheckBox" fmlaLink="$E$54" lockText="1" noThreeD="1"/>
</file>

<file path=xl/ctrlProps/ctrlProp21.xml><?xml version="1.0" encoding="utf-8"?>
<formControlPr xmlns="http://schemas.microsoft.com/office/spreadsheetml/2009/9/main" objectType="CheckBox" fmlaLink="$G$54" lockText="1" noThreeD="1"/>
</file>

<file path=xl/ctrlProps/ctrlProp22.xml><?xml version="1.0" encoding="utf-8"?>
<formControlPr xmlns="http://schemas.microsoft.com/office/spreadsheetml/2009/9/main" objectType="CheckBox" fmlaLink="$I$54" lockText="1" noThreeD="1"/>
</file>

<file path=xl/ctrlProps/ctrlProp23.xml><?xml version="1.0" encoding="utf-8"?>
<formControlPr xmlns="http://schemas.microsoft.com/office/spreadsheetml/2009/9/main" objectType="CheckBox" fmlaLink="$D$48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590550</xdr:colOff>
          <xdr:row>59</xdr:row>
          <xdr:rowOff>171450</xdr:rowOff>
        </xdr:from>
        <xdr:to>
          <xdr:col>16</xdr:col>
          <xdr:colOff>200025</xdr:colOff>
          <xdr:row>61</xdr:row>
          <xdr:rowOff>9525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590550</xdr:colOff>
          <xdr:row>60</xdr:row>
          <xdr:rowOff>171450</xdr:rowOff>
        </xdr:from>
        <xdr:to>
          <xdr:col>16</xdr:col>
          <xdr:colOff>200025</xdr:colOff>
          <xdr:row>62</xdr:row>
          <xdr:rowOff>9525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590550</xdr:colOff>
          <xdr:row>61</xdr:row>
          <xdr:rowOff>171450</xdr:rowOff>
        </xdr:from>
        <xdr:to>
          <xdr:col>16</xdr:col>
          <xdr:colOff>200025</xdr:colOff>
          <xdr:row>63</xdr:row>
          <xdr:rowOff>9525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590550</xdr:colOff>
          <xdr:row>62</xdr:row>
          <xdr:rowOff>171450</xdr:rowOff>
        </xdr:from>
        <xdr:to>
          <xdr:col>16</xdr:col>
          <xdr:colOff>200025</xdr:colOff>
          <xdr:row>64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590550</xdr:colOff>
          <xdr:row>63</xdr:row>
          <xdr:rowOff>171450</xdr:rowOff>
        </xdr:from>
        <xdr:to>
          <xdr:col>16</xdr:col>
          <xdr:colOff>200025</xdr:colOff>
          <xdr:row>65</xdr:row>
          <xdr:rowOff>9525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590550</xdr:colOff>
          <xdr:row>65</xdr:row>
          <xdr:rowOff>171450</xdr:rowOff>
        </xdr:from>
        <xdr:to>
          <xdr:col>16</xdr:col>
          <xdr:colOff>200025</xdr:colOff>
          <xdr:row>67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590550</xdr:colOff>
          <xdr:row>66</xdr:row>
          <xdr:rowOff>171450</xdr:rowOff>
        </xdr:from>
        <xdr:to>
          <xdr:col>16</xdr:col>
          <xdr:colOff>200025</xdr:colOff>
          <xdr:row>68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590550</xdr:colOff>
          <xdr:row>67</xdr:row>
          <xdr:rowOff>171450</xdr:rowOff>
        </xdr:from>
        <xdr:to>
          <xdr:col>16</xdr:col>
          <xdr:colOff>200025</xdr:colOff>
          <xdr:row>69</xdr:row>
          <xdr:rowOff>9525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590550</xdr:colOff>
          <xdr:row>68</xdr:row>
          <xdr:rowOff>171450</xdr:rowOff>
        </xdr:from>
        <xdr:to>
          <xdr:col>16</xdr:col>
          <xdr:colOff>200025</xdr:colOff>
          <xdr:row>70</xdr:row>
          <xdr:rowOff>9525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581025</xdr:colOff>
          <xdr:row>39</xdr:row>
          <xdr:rowOff>161925</xdr:rowOff>
        </xdr:from>
        <xdr:to>
          <xdr:col>4</xdr:col>
          <xdr:colOff>485775</xdr:colOff>
          <xdr:row>41</xdr:row>
          <xdr:rowOff>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485775</xdr:colOff>
          <xdr:row>39</xdr:row>
          <xdr:rowOff>161925</xdr:rowOff>
        </xdr:from>
        <xdr:to>
          <xdr:col>5</xdr:col>
          <xdr:colOff>485775</xdr:colOff>
          <xdr:row>41</xdr:row>
          <xdr:rowOff>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590550</xdr:colOff>
          <xdr:row>39</xdr:row>
          <xdr:rowOff>161925</xdr:rowOff>
        </xdr:from>
        <xdr:to>
          <xdr:col>6</xdr:col>
          <xdr:colOff>495300</xdr:colOff>
          <xdr:row>41</xdr:row>
          <xdr:rowOff>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590550</xdr:colOff>
          <xdr:row>39</xdr:row>
          <xdr:rowOff>161925</xdr:rowOff>
        </xdr:from>
        <xdr:to>
          <xdr:col>7</xdr:col>
          <xdr:colOff>495300</xdr:colOff>
          <xdr:row>41</xdr:row>
          <xdr:rowOff>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590550</xdr:colOff>
          <xdr:row>39</xdr:row>
          <xdr:rowOff>171450</xdr:rowOff>
        </xdr:from>
        <xdr:to>
          <xdr:col>8</xdr:col>
          <xdr:colOff>495300</xdr:colOff>
          <xdr:row>42</xdr:row>
          <xdr:rowOff>9525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581025</xdr:colOff>
          <xdr:row>45</xdr:row>
          <xdr:rowOff>161925</xdr:rowOff>
        </xdr:from>
        <xdr:to>
          <xdr:col>4</xdr:col>
          <xdr:colOff>485775</xdr:colOff>
          <xdr:row>47</xdr:row>
          <xdr:rowOff>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485775</xdr:colOff>
          <xdr:row>45</xdr:row>
          <xdr:rowOff>152400</xdr:rowOff>
        </xdr:from>
        <xdr:to>
          <xdr:col>5</xdr:col>
          <xdr:colOff>485775</xdr:colOff>
          <xdr:row>46</xdr:row>
          <xdr:rowOff>180975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590550</xdr:colOff>
          <xdr:row>45</xdr:row>
          <xdr:rowOff>161925</xdr:rowOff>
        </xdr:from>
        <xdr:to>
          <xdr:col>6</xdr:col>
          <xdr:colOff>495300</xdr:colOff>
          <xdr:row>47</xdr:row>
          <xdr:rowOff>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590550</xdr:colOff>
          <xdr:row>45</xdr:row>
          <xdr:rowOff>161925</xdr:rowOff>
        </xdr:from>
        <xdr:to>
          <xdr:col>7</xdr:col>
          <xdr:colOff>495300</xdr:colOff>
          <xdr:row>47</xdr:row>
          <xdr:rowOff>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590550</xdr:colOff>
          <xdr:row>45</xdr:row>
          <xdr:rowOff>161925</xdr:rowOff>
        </xdr:from>
        <xdr:to>
          <xdr:col>8</xdr:col>
          <xdr:colOff>495300</xdr:colOff>
          <xdr:row>47</xdr:row>
          <xdr:rowOff>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581025</xdr:colOff>
          <xdr:row>51</xdr:row>
          <xdr:rowOff>161925</xdr:rowOff>
        </xdr:from>
        <xdr:to>
          <xdr:col>4</xdr:col>
          <xdr:colOff>485775</xdr:colOff>
          <xdr:row>53</xdr:row>
          <xdr:rowOff>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590550</xdr:colOff>
          <xdr:row>51</xdr:row>
          <xdr:rowOff>161925</xdr:rowOff>
        </xdr:from>
        <xdr:to>
          <xdr:col>6</xdr:col>
          <xdr:colOff>495300</xdr:colOff>
          <xdr:row>53</xdr:row>
          <xdr:rowOff>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590550</xdr:colOff>
          <xdr:row>51</xdr:row>
          <xdr:rowOff>171450</xdr:rowOff>
        </xdr:from>
        <xdr:to>
          <xdr:col>8</xdr:col>
          <xdr:colOff>495300</xdr:colOff>
          <xdr:row>54</xdr:row>
          <xdr:rowOff>9525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581025</xdr:colOff>
          <xdr:row>45</xdr:row>
          <xdr:rowOff>161925</xdr:rowOff>
        </xdr:from>
        <xdr:to>
          <xdr:col>3</xdr:col>
          <xdr:colOff>485775</xdr:colOff>
          <xdr:row>47</xdr:row>
          <xdr:rowOff>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Select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26" Type="http://schemas.openxmlformats.org/officeDocument/2006/relationships/comments" Target="../comments1.xml"/><Relationship Id="rId3" Type="http://schemas.openxmlformats.org/officeDocument/2006/relationships/ctrlProp" Target="../ctrlProps/ctrlProp1.xml"/><Relationship Id="rId21" Type="http://schemas.openxmlformats.org/officeDocument/2006/relationships/ctrlProp" Target="../ctrlProps/ctrlProp19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161B6-B204-4787-B909-D8228DD37DAC}">
  <dimension ref="A1:U78"/>
  <sheetViews>
    <sheetView tabSelected="1" zoomScale="175" zoomScaleNormal="175" workbookViewId="0">
      <pane xSplit="3" ySplit="3" topLeftCell="D22" activePane="bottomRight" state="frozen"/>
      <selection pane="topRight" activeCell="D1" sqref="D1"/>
      <selection pane="bottomLeft" activeCell="A4" sqref="A4"/>
      <selection pane="bottomRight" activeCell="K33" sqref="K33"/>
    </sheetView>
  </sheetViews>
  <sheetFormatPr defaultRowHeight="15" x14ac:dyDescent="0.25"/>
  <cols>
    <col min="1" max="1" width="7.42578125" customWidth="1"/>
    <col min="2" max="2" width="9.140625" customWidth="1"/>
    <col min="5" max="5" width="7.7109375" bestFit="1" customWidth="1"/>
    <col min="8" max="9" width="9.140625" customWidth="1"/>
    <col min="11" max="11" width="11.28515625" bestFit="1" customWidth="1"/>
    <col min="13" max="14" width="9.140625" customWidth="1"/>
    <col min="17" max="17" width="11.5703125" bestFit="1" customWidth="1"/>
    <col min="18" max="18" width="6.140625" bestFit="1" customWidth="1"/>
    <col min="19" max="19" width="7.5703125" bestFit="1" customWidth="1"/>
    <col min="20" max="20" width="4.7109375" bestFit="1" customWidth="1"/>
    <col min="21" max="21" width="9.140625" customWidth="1"/>
    <col min="22" max="22" width="9.85546875" customWidth="1"/>
  </cols>
  <sheetData>
    <row r="1" spans="1:21" x14ac:dyDescent="0.25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Q1" t="s">
        <v>9</v>
      </c>
      <c r="R1" t="s">
        <v>0</v>
      </c>
      <c r="S1" t="s">
        <v>0</v>
      </c>
      <c r="T1" t="s">
        <v>1</v>
      </c>
      <c r="U1" t="s">
        <v>0</v>
      </c>
    </row>
    <row r="2" spans="1:21" x14ac:dyDescent="0.25"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Q2" t="s">
        <v>21</v>
      </c>
      <c r="R2" t="s">
        <v>0</v>
      </c>
      <c r="S2" t="s">
        <v>1</v>
      </c>
      <c r="T2" t="s">
        <v>1</v>
      </c>
      <c r="U2" t="s">
        <v>1</v>
      </c>
    </row>
    <row r="3" spans="1:21" x14ac:dyDescent="0.25">
      <c r="D3" t="str">
        <f>VLOOKUP(C8,Q1:R7,2,FALSE)</f>
        <v>ُ</v>
      </c>
      <c r="E3" t="str">
        <f>VLOOKUP(C8,Q1:S7,3,FALSE)</f>
        <v>ُ</v>
      </c>
      <c r="H3" t="s">
        <v>22</v>
      </c>
      <c r="I3" t="s">
        <v>85</v>
      </c>
      <c r="L3" t="str">
        <f>VLOOKUP(C8,Q1:T7,4,FALSE)</f>
        <v>ُ</v>
      </c>
      <c r="Q3" t="s">
        <v>23</v>
      </c>
      <c r="R3" t="s">
        <v>0</v>
      </c>
      <c r="S3" t="s">
        <v>2</v>
      </c>
      <c r="T3" t="s">
        <v>2</v>
      </c>
      <c r="U3" t="s">
        <v>0</v>
      </c>
    </row>
    <row r="4" spans="1:21" s="1" customFormat="1" ht="60" x14ac:dyDescent="0.25">
      <c r="D4" s="12" t="s">
        <v>87</v>
      </c>
      <c r="E4" s="12" t="s">
        <v>88</v>
      </c>
      <c r="F4" s="12" t="s">
        <v>89</v>
      </c>
      <c r="G4" s="12" t="s">
        <v>90</v>
      </c>
      <c r="H4" s="12" t="s">
        <v>24</v>
      </c>
      <c r="I4" s="12" t="s">
        <v>25</v>
      </c>
      <c r="J4" s="12" t="s">
        <v>26</v>
      </c>
      <c r="K4" s="12" t="s">
        <v>27</v>
      </c>
      <c r="L4" s="12" t="s">
        <v>28</v>
      </c>
      <c r="M4" s="13" t="s">
        <v>29</v>
      </c>
      <c r="N4" s="13" t="s">
        <v>30</v>
      </c>
    </row>
    <row r="5" spans="1:21" x14ac:dyDescent="0.25">
      <c r="A5" t="str">
        <f>C5&amp;G1&amp;C6&amp;E3&amp;C7</f>
        <v>كْرُم</v>
      </c>
      <c r="B5" t="str">
        <f>I2&amp;D1&amp;C5&amp;G1&amp;C6&amp;E3&amp;C7</f>
        <v>يَكْرُم</v>
      </c>
      <c r="C5" t="s">
        <v>84</v>
      </c>
      <c r="D5" t="str">
        <f>C5&amp;D1&amp;C6&amp;D3&amp;C7&amp;D1</f>
        <v>كَرُمَ</v>
      </c>
      <c r="E5" t="str">
        <f>B5&amp;F1</f>
        <v>يَكْرُمُ</v>
      </c>
      <c r="F5" t="str">
        <f>C5&amp;F1&amp;C6&amp;E1&amp;C7&amp;D1</f>
        <v>كُرِمَ</v>
      </c>
      <c r="G5" t="str">
        <f>I2&amp;F1&amp;C5&amp;G1&amp;C6&amp;D1&amp;C7&amp;F1</f>
        <v>يُكْرَمُ</v>
      </c>
      <c r="H5" t="str">
        <f>H3&amp;B5&amp;G1</f>
        <v>لَمْ يَكْرُمْ</v>
      </c>
      <c r="I5" t="str">
        <f>I3&amp;B5&amp;D1</f>
        <v>لَنْ يَكْرُمَ</v>
      </c>
      <c r="J5" t="str">
        <f>L2&amp;D1&amp;I2&amp;D1&amp;C5&amp;G1&amp;C6&amp;E3&amp;C7&amp;D1&amp;G2&amp;H1&amp;D1</f>
        <v>لَيَكْرُمَنَّ</v>
      </c>
      <c r="K5" t="str">
        <f>L2&amp;D1&amp;I2&amp;D1&amp;C5&amp;G1&amp;C6&amp;E3&amp;C7&amp;D1&amp;G2&amp;G1</f>
        <v>لَيَكْرُمَنْ</v>
      </c>
      <c r="L5" t="str">
        <f>L2&amp;E1&amp;B5&amp;G1</f>
        <v>لِيَكْرُمْ</v>
      </c>
      <c r="M5" s="2" t="str">
        <f>L2&amp;E1&amp;I2&amp;D1&amp;C5&amp;G1&amp;C6&amp;E3&amp;C7&amp;D1&amp;G2&amp;H1&amp;D1</f>
        <v>لِيَكْرُمَنَّ</v>
      </c>
      <c r="N5" t="str">
        <f>L2&amp;E1&amp;I2&amp;D1&amp;C5&amp;G1&amp;C6&amp;E3&amp;C7&amp;D1&amp;G2&amp;G1</f>
        <v>لِيَكْرُمَنْ</v>
      </c>
      <c r="Q5" t="s">
        <v>31</v>
      </c>
      <c r="R5" t="s">
        <v>1</v>
      </c>
      <c r="S5" t="s">
        <v>0</v>
      </c>
      <c r="T5" s="2" t="s">
        <v>1</v>
      </c>
      <c r="U5" t="s">
        <v>0</v>
      </c>
    </row>
    <row r="6" spans="1:21" x14ac:dyDescent="0.25">
      <c r="A6" t="str">
        <f>C5&amp;G1&amp;C6&amp;E3&amp;C7&amp;D1&amp;D2</f>
        <v>كْرُمَا</v>
      </c>
      <c r="B6" t="str">
        <f>I2&amp;D1&amp;C5&amp;G1&amp;C6&amp;E3&amp;C7&amp;D1&amp;D2</f>
        <v>يَكْرُمَا</v>
      </c>
      <c r="C6" t="s">
        <v>83</v>
      </c>
      <c r="D6" t="str">
        <f>C5&amp;D1&amp;C6&amp;D3&amp;C7&amp;D1&amp;D2</f>
        <v>كَرُمَا</v>
      </c>
      <c r="E6" t="str">
        <f>B6&amp;G2&amp;E1</f>
        <v>يَكْرُمَانِ</v>
      </c>
      <c r="F6" t="str">
        <f>C5&amp;F1&amp;C6&amp;E1&amp;C7&amp;D1&amp;D2</f>
        <v>كُرِمَا</v>
      </c>
      <c r="G6" t="str">
        <f>I2&amp;F1&amp;C5&amp;G1&amp;C6&amp;D1&amp;C7&amp;D1&amp;D2&amp;G2&amp;E1</f>
        <v>يُكْرَمَانِ</v>
      </c>
      <c r="H6" t="str">
        <f>H3&amp;B6</f>
        <v>لَمْ يَكْرُمَا</v>
      </c>
      <c r="I6" t="str">
        <f>I3&amp;B6</f>
        <v>لَنْ يَكْرُمَا</v>
      </c>
      <c r="J6" t="str">
        <f>L2&amp;D1&amp;I2&amp;D1&amp;C5&amp;G1&amp;C6&amp;E3&amp;C7&amp;D1&amp;D2&amp;G2&amp;H1&amp;E1</f>
        <v>لَيَكْرُمَانِّ</v>
      </c>
      <c r="L6" t="str">
        <f>L2&amp;E1&amp;B6</f>
        <v>لِيَكْرُمَا</v>
      </c>
      <c r="M6" s="2" t="str">
        <f>L2&amp;E1&amp;I2&amp;D1&amp;C5&amp;G1&amp;C6&amp;E3&amp;C7&amp;D1&amp;D2&amp;G2&amp;H1&amp;E1</f>
        <v>لِيَكْرُمَانِّ</v>
      </c>
      <c r="Q6" t="s">
        <v>32</v>
      </c>
      <c r="R6" t="s">
        <v>2</v>
      </c>
      <c r="S6" t="s">
        <v>2</v>
      </c>
      <c r="T6" s="2" t="s">
        <v>2</v>
      </c>
      <c r="U6" t="s">
        <v>0</v>
      </c>
    </row>
    <row r="7" spans="1:21" x14ac:dyDescent="0.25">
      <c r="A7" t="str">
        <f>C5&amp;G1&amp;C6&amp;E3&amp;C7&amp;F1&amp;E2&amp;G1</f>
        <v>كْرُمُوْ</v>
      </c>
      <c r="B7" t="str">
        <f>I2&amp;D1&amp;C5&amp;G1&amp;C6&amp;E3&amp;C7&amp;F1&amp;E2&amp;G1</f>
        <v>يَكْرُمُوْ</v>
      </c>
      <c r="C7" t="s">
        <v>14</v>
      </c>
      <c r="D7" t="str">
        <f>C5&amp;D1&amp;C6&amp;D3&amp;C7&amp;F1&amp;E2&amp;G1&amp;D2</f>
        <v>كَرُمُوْا</v>
      </c>
      <c r="E7" t="str">
        <f>B7&amp;G2&amp;D1</f>
        <v>يَكْرُمُوْنَ</v>
      </c>
      <c r="F7" t="str">
        <f>C5&amp;F1&amp;C6&amp;E1&amp;C7&amp;F1&amp;E2&amp;G1&amp;D2</f>
        <v>كُرِمُوْا</v>
      </c>
      <c r="G7" t="str">
        <f>I2&amp;F1&amp;C5&amp;G1&amp;C6&amp;D1&amp;C7&amp;F1&amp;E2&amp;G1&amp;G2&amp;D1</f>
        <v>يُكْرَمُوْنَ</v>
      </c>
      <c r="H7" t="str">
        <f>H3&amp;B7&amp;D2</f>
        <v>لَمْ يَكْرُمُوْا</v>
      </c>
      <c r="I7" t="str">
        <f>I3&amp;B7&amp;D2</f>
        <v>لَنْ يَكْرُمُوْا</v>
      </c>
      <c r="J7" t="str">
        <f>L2&amp;D1&amp;I2&amp;D1&amp;C5&amp;G1&amp;C6&amp;E3&amp;C7&amp;F1&amp;G2&amp;H1&amp;D1</f>
        <v>لَيَكْرُمُنَّ</v>
      </c>
      <c r="K7" t="str">
        <f>L2&amp;D1&amp;I2&amp;D1&amp;C5&amp;G1&amp;C6&amp;E3&amp;C7&amp;F1&amp;G2&amp;G1</f>
        <v>لَيَكْرُمُنْ</v>
      </c>
      <c r="L7" t="str">
        <f>L2&amp;E1&amp;B7&amp;D2</f>
        <v>لِيَكْرُمُوْا</v>
      </c>
      <c r="M7" s="2" t="str">
        <f>L2&amp;E1&amp;I2&amp;D1&amp;C5&amp;G1&amp;C6&amp;E3&amp;C7&amp;F1&amp;G2&amp;H1&amp;D1</f>
        <v>لِيَكْرُمُنَّ</v>
      </c>
      <c r="N7" t="str">
        <f>L2&amp;E1&amp;I2&amp;D1&amp;C5&amp;G1&amp;C6&amp;E3&amp;C7&amp;F1&amp;G2&amp;G1</f>
        <v>لِيَكْرُمُنْ</v>
      </c>
      <c r="Q7" t="s">
        <v>33</v>
      </c>
      <c r="R7" t="s">
        <v>1</v>
      </c>
      <c r="S7" t="s">
        <v>1</v>
      </c>
      <c r="T7" s="2" t="s">
        <v>1</v>
      </c>
      <c r="U7" t="s">
        <v>1</v>
      </c>
    </row>
    <row r="8" spans="1:21" x14ac:dyDescent="0.25">
      <c r="C8" t="s">
        <v>32</v>
      </c>
      <c r="M8" s="2"/>
      <c r="T8" s="2"/>
    </row>
    <row r="9" spans="1:21" x14ac:dyDescent="0.25">
      <c r="A9" t="str">
        <f>C5&amp;G1&amp;C6&amp;E3&amp;C7</f>
        <v>كْرُم</v>
      </c>
      <c r="B9" t="str">
        <f>F2&amp;D1&amp;C5&amp;G1&amp;C6&amp;E3&amp;C7</f>
        <v>تَكْرُم</v>
      </c>
      <c r="D9" t="str">
        <f>C5&amp;D1&amp;C6&amp;D3&amp;C7&amp;D1&amp;F2&amp;G1</f>
        <v>كَرُمَتْ</v>
      </c>
      <c r="E9" t="str">
        <f>B9&amp;F1</f>
        <v>تَكْرُمُ</v>
      </c>
      <c r="F9" t="str">
        <f>C5&amp;F1&amp;C6&amp;E1&amp;C7&amp;D1&amp;F2&amp;G1</f>
        <v>كُرِمَتْ</v>
      </c>
      <c r="G9" t="str">
        <f>F2&amp;F1&amp;C5&amp;G1&amp;C6&amp;D1&amp;C7&amp;F1</f>
        <v>تُكْرَمُ</v>
      </c>
      <c r="H9" t="str">
        <f>H3&amp;B9&amp;G1</f>
        <v>لَمْ تَكْرُمْ</v>
      </c>
      <c r="I9" t="str">
        <f>I3&amp;B9&amp;D1</f>
        <v>لَنْ تَكْرُمَ</v>
      </c>
      <c r="J9" t="str">
        <f>L2&amp;D1&amp;F2&amp;D1&amp;C5&amp;G1&amp;C6&amp;E3&amp;C7&amp;D1&amp;G2&amp;H1&amp;D1</f>
        <v>لَتَكْرُمَنَّ</v>
      </c>
      <c r="K9" t="str">
        <f>L2&amp;D1&amp;F2&amp;D1&amp;C5&amp;G1&amp;C6&amp;E3&amp;C7&amp;D1&amp;G2&amp;G1</f>
        <v>لَتَكْرُمَنْ</v>
      </c>
      <c r="L9" t="str">
        <f>L2&amp;E1&amp;B9&amp;G1</f>
        <v>لِتَكْرُمْ</v>
      </c>
      <c r="M9" s="2" t="str">
        <f>L2&amp;E1&amp;F2&amp;D1&amp;C5&amp;G1&amp;C6&amp;E3&amp;C7&amp;D1&amp;G2&amp;H1&amp;D1</f>
        <v>لِتَكْرُمَنَّ</v>
      </c>
      <c r="N9" t="str">
        <f>L2&amp;E1&amp;F2&amp;D1&amp;C5&amp;G1&amp;C6&amp;E3&amp;C7&amp;D1&amp;G2&amp;G1</f>
        <v>لِتَكْرُمَنْ</v>
      </c>
      <c r="R9" t="s">
        <v>34</v>
      </c>
      <c r="S9" t="s">
        <v>35</v>
      </c>
      <c r="T9" s="2" t="s">
        <v>36</v>
      </c>
      <c r="U9" t="s">
        <v>37</v>
      </c>
    </row>
    <row r="10" spans="1:21" x14ac:dyDescent="0.25">
      <c r="A10" t="str">
        <f>C5&amp;G1&amp;C6&amp;E3&amp;C7&amp;D1&amp;D2</f>
        <v>كْرُمَا</v>
      </c>
      <c r="B10" t="str">
        <f>F2&amp;D1&amp;C5&amp;G1&amp;C6&amp;E3&amp;C7&amp;D1&amp;D2</f>
        <v>تَكْرُمَا</v>
      </c>
      <c r="D10" t="str">
        <f>C5&amp;D1&amp;C6&amp;D3&amp;C7&amp;D1&amp;F2&amp;D1&amp;D2</f>
        <v>كَرُمَتَا</v>
      </c>
      <c r="E10" t="str">
        <f>B10&amp;G2&amp;E1</f>
        <v>تَكْرُمَانِ</v>
      </c>
      <c r="F10" t="str">
        <f>C5&amp;F1&amp;C6&amp;E1&amp;C7&amp;D1&amp;F2&amp;D1&amp;D2</f>
        <v>كُرِمَتَا</v>
      </c>
      <c r="G10" t="str">
        <f>F2&amp;F1&amp;C5&amp;G1&amp;C6&amp;D1&amp;C7&amp;D1&amp;D2&amp;G2&amp;E1</f>
        <v>تُكْرَمَانِ</v>
      </c>
      <c r="H10" t="str">
        <f>H3&amp;B10</f>
        <v>لَمْ تَكْرُمَا</v>
      </c>
      <c r="I10" t="str">
        <f>I3&amp;B10</f>
        <v>لَنْ تَكْرُمَا</v>
      </c>
      <c r="J10" t="str">
        <f>L2&amp;D1&amp;F2&amp;D1&amp;C5&amp;G1&amp;C6&amp;E3&amp;C7&amp;D1&amp;D2&amp;G2&amp;H1&amp;E1</f>
        <v>لَتَكْرُمَانِّ</v>
      </c>
      <c r="L10" t="str">
        <f>L2&amp;E1&amp;B10</f>
        <v>لِتَكْرُمَا</v>
      </c>
      <c r="M10" s="2" t="str">
        <f>L2&amp;E1&amp;F2&amp;D1&amp;C5&amp;G1&amp;C6&amp;E3&amp;C7&amp;D1&amp;D2&amp;G2&amp;H1&amp;E1</f>
        <v>لِتَكْرُمَانِّ</v>
      </c>
      <c r="T10" s="2"/>
    </row>
    <row r="11" spans="1:21" x14ac:dyDescent="0.25">
      <c r="A11" t="str">
        <f>C5&amp;G1&amp;C6&amp;E3&amp;C7&amp;G1&amp;G2&amp;D1</f>
        <v>كْرُمْنَ</v>
      </c>
      <c r="B11" t="str">
        <f>I2&amp;D1&amp;C5&amp;G1&amp;C6&amp;E3&amp;C7&amp;G1&amp;G2&amp;D1</f>
        <v>يَكْرُمْنَ</v>
      </c>
      <c r="D11" t="str">
        <f>C5&amp;D1&amp;C6&amp;D3&amp;C7&amp;G1&amp;G2&amp;D1</f>
        <v>كَرُمْنَ</v>
      </c>
      <c r="E11" t="str">
        <f>B11</f>
        <v>يَكْرُمْنَ</v>
      </c>
      <c r="F11" t="str">
        <f>C5&amp;F1&amp;C6&amp;E1&amp;C7&amp;G1&amp;G2&amp;D1</f>
        <v>كُرِمْنَ</v>
      </c>
      <c r="G11" t="str">
        <f>I2&amp;F1&amp;C5&amp;G1&amp;C6&amp;D1&amp;C7&amp;G1&amp;G2&amp;D1</f>
        <v>يُكْرَمْنَ</v>
      </c>
      <c r="H11" t="str">
        <f>H3&amp;B11</f>
        <v>لَمْ يَكْرُمْنَ</v>
      </c>
      <c r="I11" t="str">
        <f>I3&amp;B11</f>
        <v>لَنْ يَكْرُمْنَ</v>
      </c>
      <c r="J11" t="str">
        <f>L2&amp;D1&amp;I2&amp;D1&amp;C5&amp;G1&amp;C6&amp;E3&amp;C7&amp;G1&amp;G2&amp;D1&amp;D2&amp;G2&amp;H1&amp;E1</f>
        <v>لَيَكْرُمْنَانِّ</v>
      </c>
      <c r="L11" t="str">
        <f>L2&amp;E1&amp;B11</f>
        <v>لِيَكْرُمْنَ</v>
      </c>
      <c r="M11" s="2" t="str">
        <f>L2&amp;E1&amp;I2&amp;D1&amp;C5&amp;G1&amp;C6&amp;E3&amp;C7&amp;G1&amp;G2&amp;D1&amp;D2&amp;G2&amp;H1&amp;E1</f>
        <v>لِيَكْرُمْنَانِّ</v>
      </c>
      <c r="T11" s="2"/>
      <c r="U11" t="str">
        <f>VLOOKUP(C8,Q1:U7,5,FALSE)</f>
        <v>َ</v>
      </c>
    </row>
    <row r="12" spans="1:21" x14ac:dyDescent="0.25">
      <c r="M12" s="2"/>
      <c r="T12" s="2"/>
      <c r="U12" t="s">
        <v>82</v>
      </c>
    </row>
    <row r="13" spans="1:21" x14ac:dyDescent="0.25">
      <c r="A13" t="str">
        <f>C5&amp;G1&amp;C6&amp;E3&amp;C7</f>
        <v>كْرُم</v>
      </c>
      <c r="B13" t="str">
        <f>F2&amp;D1&amp;C5&amp;G1&amp;C6&amp;E3&amp;C7</f>
        <v>تَكْرُم</v>
      </c>
      <c r="D13" t="str">
        <f>C5&amp;D1&amp;C6&amp;D3&amp;C7&amp;G1&amp;F2&amp;D1</f>
        <v>كَرُمْتَ</v>
      </c>
      <c r="E13" t="str">
        <f>B13&amp;F1</f>
        <v>تَكْرُمُ</v>
      </c>
      <c r="F13" t="str">
        <f>C5&amp;F1&amp;C6&amp;E1&amp;C7&amp;G1&amp;F2&amp;D1</f>
        <v>كُرِمْتَ</v>
      </c>
      <c r="G13" t="str">
        <f>F2&amp;F1&amp;C5&amp;G1&amp;C6&amp;D1&amp;C7&amp;F1</f>
        <v>تُكْرَمُ</v>
      </c>
      <c r="H13" t="str">
        <f>H3&amp;B13&amp;G1</f>
        <v>لَمْ تَكْرُمْ</v>
      </c>
      <c r="I13" t="str">
        <f>I3&amp;B13&amp;D1</f>
        <v>لَنْ تَكْرُمَ</v>
      </c>
      <c r="J13" t="str">
        <f>L2&amp;D1&amp;F2&amp;D1&amp;C5&amp;G1&amp;C6&amp;E3&amp;C7&amp;D1&amp;G2&amp;H1&amp;D1</f>
        <v>لَتَكْرُمَنَّ</v>
      </c>
      <c r="K13" t="str">
        <f>L2&amp;D1&amp;F2&amp;D1&amp;C5&amp;G1&amp;C6&amp;E3&amp;C7&amp;D1&amp;G2&amp;G1</f>
        <v>لَتَكْرُمَنْ</v>
      </c>
      <c r="L13" t="str">
        <f>D2&amp;L3&amp;C5&amp;G1&amp;C6&amp;E3&amp;C7&amp;G1</f>
        <v>اُكْرُمْ</v>
      </c>
      <c r="M13" s="2" t="str">
        <f>D2&amp;L3&amp;C5&amp;G1&amp;C6&amp;E3&amp;C7&amp;D1&amp;G2&amp;H1&amp;D1</f>
        <v>اُكْرُمَنَّ</v>
      </c>
      <c r="N13" t="str">
        <f>D2&amp;L3&amp;C5&amp;G1&amp;C6&amp;E3&amp;C7&amp;D1&amp;G2&amp;G1</f>
        <v>اُكْرُمَنْ</v>
      </c>
      <c r="T13" s="2"/>
    </row>
    <row r="14" spans="1:21" x14ac:dyDescent="0.25">
      <c r="A14" t="str">
        <f>C5&amp;G1&amp;C6&amp;E3&amp;C7&amp;D1&amp;D2</f>
        <v>كْرُمَا</v>
      </c>
      <c r="B14" t="str">
        <f>F2&amp;D1&amp;C5&amp;G1&amp;C6&amp;E3&amp;C7&amp;D1&amp;D2</f>
        <v>تَكْرُمَا</v>
      </c>
      <c r="D14" t="str">
        <f>C5&amp;D1&amp;C6&amp;D3&amp;C7&amp;G1&amp;F2&amp;F1&amp;H2&amp;D1&amp;D2</f>
        <v>كَرُمْتُمَا</v>
      </c>
      <c r="E14" t="str">
        <f>B14&amp;G2&amp;E1</f>
        <v>تَكْرُمَانِ</v>
      </c>
      <c r="F14" t="str">
        <f>C5&amp;F1&amp;C6&amp;E1&amp;C7&amp;G1&amp;F2&amp;F1&amp;H2&amp;D1&amp;D2</f>
        <v>كُرِمْتُمَا</v>
      </c>
      <c r="G14" t="str">
        <f>F2&amp;F1&amp;C5&amp;G1&amp;C6&amp;D1&amp;C7&amp;D1&amp;D2&amp;G2&amp;E1</f>
        <v>تُكْرَمَانِ</v>
      </c>
      <c r="H14" t="str">
        <f>H3&amp;B14</f>
        <v>لَمْ تَكْرُمَا</v>
      </c>
      <c r="I14" t="str">
        <f>I3&amp;B14</f>
        <v>لَنْ تَكْرُمَا</v>
      </c>
      <c r="J14" t="str">
        <f>L2&amp;D1&amp;F2&amp;D1&amp;C5&amp;G1&amp;C6&amp;E3&amp;C7&amp;D1&amp;D2&amp;G2&amp;H1&amp;E1</f>
        <v>لَتَكْرُمَانِّ</v>
      </c>
      <c r="L14" t="str">
        <f>D2&amp;L3&amp;C5&amp;G1&amp;C6&amp;E3&amp;C7&amp;D1&amp;D2</f>
        <v>اُكْرُمَا</v>
      </c>
      <c r="M14" s="2" t="str">
        <f>D2&amp;L3&amp;C5&amp;G1&amp;C6&amp;E3&amp;C7&amp;D1&amp;D2&amp;G2&amp;H1&amp;E1</f>
        <v>اُكْرُمَانِّ</v>
      </c>
      <c r="T14" s="2"/>
    </row>
    <row r="15" spans="1:21" x14ac:dyDescent="0.25">
      <c r="A15" t="str">
        <f>C5&amp;G1&amp;C6&amp;E3&amp;C7&amp;F1&amp;E2&amp;G1</f>
        <v>كْرُمُوْ</v>
      </c>
      <c r="B15" t="str">
        <f>F2&amp;D1&amp;C5&amp;G1&amp;C6&amp;E3&amp;C7&amp;F1&amp;E2&amp;G1</f>
        <v>تَكْرُمُوْ</v>
      </c>
      <c r="D15" t="str">
        <f>C5&amp;D1&amp;C6&amp;D3&amp;C7&amp;G1&amp;F2&amp;F1&amp;H2&amp;G1</f>
        <v>كَرُمْتُمْ</v>
      </c>
      <c r="E15" t="str">
        <f>B15&amp;G2&amp;D1</f>
        <v>تَكْرُمُوْنَ</v>
      </c>
      <c r="F15" t="str">
        <f>C5&amp;F1&amp;C6&amp;E1&amp;C7&amp;G1&amp;F2&amp;F1&amp;H2&amp;G1</f>
        <v>كُرِمْتُمْ</v>
      </c>
      <c r="G15" t="str">
        <f>F2&amp;F1&amp;C5&amp;G1&amp;C6&amp;D1&amp;C7&amp;F1&amp;E2&amp;G1&amp;G2&amp;D1</f>
        <v>تُكْرَمُوْنَ</v>
      </c>
      <c r="H15" t="str">
        <f>H3&amp;B15&amp;D2</f>
        <v>لَمْ تَكْرُمُوْا</v>
      </c>
      <c r="I15" t="str">
        <f>I3&amp;B15&amp;D2</f>
        <v>لَنْ تَكْرُمُوْا</v>
      </c>
      <c r="J15" t="str">
        <f>L2&amp;D1&amp;F2&amp;D1&amp;C5&amp;G1&amp;C6&amp;E3&amp;C7&amp;F1&amp;G2&amp;H1&amp;D1</f>
        <v>لَتَكْرُمُنَّ</v>
      </c>
      <c r="K15" t="str">
        <f>L2&amp;D1&amp;F2&amp;D1&amp;C5&amp;G1&amp;C6&amp;E3&amp;C7&amp;F1&amp;G2&amp;G1</f>
        <v>لَتَكْرُمُنْ</v>
      </c>
      <c r="L15" t="str">
        <f>D2&amp;L3&amp;C5&amp;G1&amp;C6&amp;E3&amp;C7&amp;F1&amp;E2&amp;G1&amp;D2</f>
        <v>اُكْرُمُوْا</v>
      </c>
      <c r="M15" s="2" t="str">
        <f>D2&amp;L3&amp;C5&amp;G1&amp;C6&amp;E3&amp;C7&amp;F1&amp;G2&amp;H1&amp;D1</f>
        <v>اُكْرُمُنَّ</v>
      </c>
      <c r="N15" t="str">
        <f>D2&amp;L3&amp;C5&amp;G1&amp;C6&amp;E3&amp;C7&amp;F1&amp;G2&amp;G1</f>
        <v>اُكْرُمُنْ</v>
      </c>
      <c r="T15" s="2"/>
    </row>
    <row r="16" spans="1:21" x14ac:dyDescent="0.25">
      <c r="M16" s="2"/>
      <c r="T16" s="2"/>
    </row>
    <row r="17" spans="1:20" x14ac:dyDescent="0.25">
      <c r="A17" t="str">
        <f>C5&amp;G1&amp;C6&amp;E3&amp;C7&amp;E1&amp;I2&amp;G1</f>
        <v>كْرُمِيْ</v>
      </c>
      <c r="B17" t="str">
        <f>F2&amp;D1&amp;C5&amp;G1&amp;C6&amp;E3&amp;C7&amp;E1&amp;I2&amp;G1</f>
        <v>تَكْرُمِيْ</v>
      </c>
      <c r="D17" t="str">
        <f>C5&amp;D1&amp;C6&amp;D3&amp;C7&amp;G1&amp;F2&amp;E1</f>
        <v>كَرُمْتِ</v>
      </c>
      <c r="E17" t="str">
        <f>B17&amp;G2&amp;D1</f>
        <v>تَكْرُمِيْنَ</v>
      </c>
      <c r="F17" t="str">
        <f>C5&amp;F1&amp;C6&amp;E1&amp;C7&amp;G1&amp;F2&amp;E1</f>
        <v>كُرِمْتِ</v>
      </c>
      <c r="G17" t="str">
        <f>F2&amp;F1&amp;C5&amp;G1&amp;C6&amp;D1&amp;C7&amp;E1&amp;I2&amp;G1&amp;G2&amp;D1</f>
        <v>تُكْرَمِيْنَ</v>
      </c>
      <c r="H17" t="str">
        <f>H3&amp;B17</f>
        <v>لَمْ تَكْرُمِيْ</v>
      </c>
      <c r="I17" t="str">
        <f>I3&amp;B17</f>
        <v>لَنْ تَكْرُمِيْ</v>
      </c>
      <c r="J17" t="str">
        <f>L2&amp;D1&amp;F2&amp;D1&amp;C5&amp;G1&amp;C6&amp;E3&amp;C7&amp;E1&amp;G2&amp;H1&amp;D1</f>
        <v>لَتَكْرُمِنَّ</v>
      </c>
      <c r="K17" t="str">
        <f>L2&amp;D1&amp;F2&amp;D1&amp;C5&amp;G1&amp;C6&amp;E3&amp;C7&amp;E1&amp;G2&amp;G1</f>
        <v>لَتَكْرُمِنْ</v>
      </c>
      <c r="L17" t="str">
        <f>D2&amp;L3&amp;C5&amp;G1&amp;C6&amp;E3&amp;C7&amp;E1&amp;I2&amp;G1</f>
        <v>اُكْرُمِيْ</v>
      </c>
      <c r="M17" s="2" t="str">
        <f>D2&amp;L3&amp;C5&amp;G1&amp;C6&amp;E3&amp;C7&amp;E1&amp;G2&amp;H1&amp;D1</f>
        <v>اُكْرُمِنَّ</v>
      </c>
      <c r="N17" t="str">
        <f>D2&amp;L3&amp;C5&amp;G1&amp;C6&amp;E3&amp;C7&amp;E1&amp;G2&amp;G1</f>
        <v>اُكْرُمِنْ</v>
      </c>
      <c r="T17" s="2"/>
    </row>
    <row r="18" spans="1:20" s="10" customFormat="1" x14ac:dyDescent="0.25">
      <c r="A18" s="10" t="str">
        <f>C5&amp;G1&amp;C6&amp;D1&amp;C7&amp;E3&amp;D2</f>
        <v>كْرَمُا</v>
      </c>
      <c r="B18" s="10" t="str">
        <f>F2&amp;D1&amp;C5&amp;G1&amp;C6&amp;E3&amp;C7&amp;D1&amp;D2</f>
        <v>تَكْرُمَا</v>
      </c>
      <c r="D18" s="10" t="str">
        <f>C5&amp;D1&amp;C6&amp;D3&amp;C7&amp;G1&amp;F2&amp;F1&amp;H2&amp;D1&amp;D2</f>
        <v>كَرُمْتُمَا</v>
      </c>
      <c r="E18" s="10" t="str">
        <f>B18&amp;G2&amp;E1</f>
        <v>تَكْرُمَانِ</v>
      </c>
      <c r="F18" s="10" t="str">
        <f>C5&amp;F1&amp;C6&amp;E1&amp;C7&amp;G1&amp;F2&amp;F1&amp;H2&amp;D1&amp;D2</f>
        <v>كُرِمْتُمَا</v>
      </c>
      <c r="G18" s="10" t="str">
        <f>F2&amp;F1&amp;C5&amp;G1&amp;C6&amp;D1&amp;C7&amp;D1&amp;D2&amp;G2&amp;E1</f>
        <v>تُكْرَمَانِ</v>
      </c>
      <c r="H18" s="10" t="str">
        <f>H3&amp;B18</f>
        <v>لَمْ تَكْرُمَا</v>
      </c>
      <c r="I18" s="10" t="str">
        <f>I3&amp;B18</f>
        <v>لَنْ تَكْرُمَا</v>
      </c>
      <c r="J18" s="10" t="str">
        <f>L2&amp;D1&amp;F2&amp;D1&amp;C5&amp;G1&amp;C6&amp;E3&amp;C7&amp;D1&amp;D2&amp;G2&amp;H1&amp;E1</f>
        <v>لَتَكْرُمَانِّ</v>
      </c>
      <c r="L18" s="10" t="str">
        <f>D2&amp;L3&amp;C5&amp;G1&amp;C6&amp;E3&amp;C7&amp;D1&amp;D2</f>
        <v>اُكْرُمَا</v>
      </c>
      <c r="M18" s="11" t="str">
        <f>D2&amp;L3&amp;C5&amp;G1&amp;C6&amp;E3&amp;C7&amp;D1&amp;D2&amp;G2&amp;H1&amp;E1</f>
        <v>اُكْرُمَانِّ</v>
      </c>
      <c r="T18" s="11"/>
    </row>
    <row r="19" spans="1:20" x14ac:dyDescent="0.25">
      <c r="A19" t="str">
        <f>C5&amp;G1&amp;C6&amp;E3&amp;C7&amp;G1&amp;G2&amp;D1</f>
        <v>كْرُمْنَ</v>
      </c>
      <c r="B19" t="str">
        <f>F2&amp;D1&amp;C5&amp;G1&amp;C6&amp;E3&amp;C7&amp;G1&amp;G2&amp;D1</f>
        <v>تَكْرُمْنَ</v>
      </c>
      <c r="D19" t="str">
        <f>C5&amp;D1&amp;C6&amp;D3&amp;C7&amp;G1&amp;F2&amp;F1&amp;G2&amp;H1&amp;D1</f>
        <v>كَرُمْتُنَّ</v>
      </c>
      <c r="E19" t="str">
        <f>B19</f>
        <v>تَكْرُمْنَ</v>
      </c>
      <c r="F19" t="str">
        <f>C5&amp;F1&amp;C6&amp;E1&amp;C7&amp;G1&amp;F2&amp;F1&amp;G2&amp;H1&amp;D1</f>
        <v>كُرِمْتُنَّ</v>
      </c>
      <c r="G19" t="str">
        <f>F2&amp;F1&amp;C5&amp;G1&amp;C6&amp;D1&amp;C7&amp;G1&amp;G2&amp;D1</f>
        <v>تُكْرَمْنَ</v>
      </c>
      <c r="H19" t="str">
        <f>H3&amp;B19</f>
        <v>لَمْ تَكْرُمْنَ</v>
      </c>
      <c r="I19" t="str">
        <f>I3&amp;B19</f>
        <v>لَنْ تَكْرُمْنَ</v>
      </c>
      <c r="J19" t="str">
        <f>L2&amp;D1&amp;F2&amp;D1&amp;C5&amp;G1&amp;C6&amp;E3&amp;C7&amp;G1&amp;G2&amp;D1&amp;D2&amp;G2&amp;H1&amp;E1</f>
        <v>لَتَكْرُمْنَانِّ</v>
      </c>
      <c r="L19" t="str">
        <f>D2&amp;L3&amp;C5&amp;G1&amp;C6&amp;E3&amp;C7&amp;G1&amp;G2&amp;D1</f>
        <v>اُكْرُمْنَ</v>
      </c>
      <c r="M19" s="2" t="str">
        <f>D2&amp;L3&amp;C5&amp;G1&amp;C6&amp;E3&amp;C7&amp;G1&amp;G2&amp;D1&amp;D2&amp;G2&amp;H1&amp;E1</f>
        <v>اُكْرُمْنَانِّ</v>
      </c>
      <c r="T19" s="2"/>
    </row>
    <row r="20" spans="1:20" x14ac:dyDescent="0.25">
      <c r="M20" s="2"/>
      <c r="T20" s="2"/>
    </row>
    <row r="21" spans="1:20" x14ac:dyDescent="0.25">
      <c r="A21" t="str">
        <f>C5&amp;G1&amp;C6&amp;E3&amp;C7</f>
        <v>كْرُم</v>
      </c>
      <c r="B21" t="str">
        <f>J2&amp;D1&amp;C5&amp;G1&amp;C6&amp;E3&amp;C7</f>
        <v>أَكْرُم</v>
      </c>
      <c r="D21" t="str">
        <f>C5&amp;D1&amp;C6&amp;D3&amp;C7&amp;G1&amp;F2&amp;F1</f>
        <v>كَرُمْتُ</v>
      </c>
      <c r="E21" t="str">
        <f>B21&amp;F1</f>
        <v>أَكْرُمُ</v>
      </c>
      <c r="F21" t="str">
        <f>C5&amp;F1&amp;C6&amp;E1&amp;C7&amp;G1&amp;F2&amp;F1</f>
        <v>كُرِمْتُ</v>
      </c>
      <c r="G21" t="str">
        <f>J2&amp;F1&amp;C5&amp;G1&amp;C6&amp;D1&amp;C7&amp;F1</f>
        <v>أُكْرَمُ</v>
      </c>
      <c r="H21" t="str">
        <f>H3&amp;B21&amp;G1</f>
        <v>لَمْ أَكْرُمْ</v>
      </c>
      <c r="I21" t="str">
        <f>I3&amp;B21&amp;D1</f>
        <v>لَنْ أَكْرُمَ</v>
      </c>
      <c r="J21" t="str">
        <f>L2&amp;D1&amp;J2&amp;D1&amp;C5&amp;G1&amp;C6&amp;E3&amp;C7&amp;D1&amp;G2&amp;H1&amp;D1</f>
        <v>لَأَكْرُمَنَّ</v>
      </c>
      <c r="K21" t="str">
        <f>L2&amp;D1&amp;J2&amp;D1&amp;C5&amp;G1&amp;C6&amp;E3&amp;C7&amp;D1&amp;G2&amp;G1</f>
        <v>لَأَكْرُمَنْ</v>
      </c>
      <c r="L21" t="str">
        <f>L2&amp;E1&amp;B21&amp;G1</f>
        <v>لِأَكْرُمْ</v>
      </c>
      <c r="M21" s="2" t="str">
        <f>L2&amp;E1&amp;J2&amp;D1&amp;C5&amp;G1&amp;C6&amp;E3&amp;C7&amp;D1&amp;G2&amp;H1&amp;D1</f>
        <v>لِأَكْرُمَنَّ</v>
      </c>
      <c r="N21" t="str">
        <f>L2&amp;E1&amp;J2&amp;D1&amp;C5&amp;G1&amp;C6&amp;E3&amp;C7&amp;D1&amp;G2&amp;G1</f>
        <v>لِأَكْرُمَنْ</v>
      </c>
      <c r="T21" s="2"/>
    </row>
    <row r="22" spans="1:20" x14ac:dyDescent="0.25">
      <c r="A22" t="str">
        <f>C5&amp;G1&amp;C6&amp;E3&amp;C7</f>
        <v>كْرُم</v>
      </c>
      <c r="B22" t="str">
        <f>G2&amp;D1&amp;C5&amp;G1&amp;C6&amp;E3&amp;C7</f>
        <v>نَكْرُم</v>
      </c>
      <c r="D22" t="str">
        <f>C5&amp;D1&amp;C6&amp;D3&amp;C7&amp;G1&amp;G2&amp;D1&amp;D2</f>
        <v>كَرُمْنَا</v>
      </c>
      <c r="E22" t="str">
        <f>B22&amp;F1</f>
        <v>نَكْرُمُ</v>
      </c>
      <c r="F22" t="str">
        <f>C5&amp;F1&amp;C6&amp;E1&amp;C7&amp;G1&amp;G2&amp;D1&amp;D2</f>
        <v>كُرِمْنَا</v>
      </c>
      <c r="G22" t="str">
        <f>G2&amp;F1&amp;C5&amp;G1&amp;C6&amp;D1&amp;C7&amp;F1</f>
        <v>نُكْرَمُ</v>
      </c>
      <c r="H22" t="str">
        <f>H3&amp;B22&amp;G1</f>
        <v>لَمْ نَكْرُمْ</v>
      </c>
      <c r="I22" t="str">
        <f>I3&amp;B22&amp;D1</f>
        <v>لَنْ نَكْرُمَ</v>
      </c>
      <c r="J22" t="str">
        <f>L2&amp;D1&amp;G2&amp;D1&amp;C5&amp;G1&amp;C6&amp;E3&amp;C7&amp;D1&amp;G2&amp;H1&amp;D1</f>
        <v>لَنَكْرُمَنَّ</v>
      </c>
      <c r="K22" t="str">
        <f>L2&amp;D1&amp;G2&amp;D1&amp;C5&amp;G1&amp;C6&amp;E3&amp;C7&amp;D1&amp;G2&amp;G1</f>
        <v>لَنَكْرُمَنْ</v>
      </c>
      <c r="L22" t="str">
        <f>L2&amp;E1&amp;B22&amp;G1</f>
        <v>لِنَكْرُمْ</v>
      </c>
      <c r="M22" s="2" t="str">
        <f>L2&amp;E1&amp;G2&amp;D1&amp;C5&amp;G1&amp;C6&amp;E3&amp;C7&amp;D1&amp;G2&amp;H1&amp;D1</f>
        <v>لِنَكْرُمَنَّ</v>
      </c>
      <c r="N22" t="str">
        <f>L2&amp;E1&amp;G2&amp;D1&amp;C5&amp;G1&amp;C6&amp;E3&amp;C7&amp;D1&amp;G2&amp;G1</f>
        <v>لِنَكْرُمَنْ</v>
      </c>
      <c r="T22" s="2"/>
    </row>
    <row r="23" spans="1:20" x14ac:dyDescent="0.25">
      <c r="M23" s="2"/>
      <c r="T23" s="2"/>
    </row>
    <row r="24" spans="1:20" x14ac:dyDescent="0.25">
      <c r="D24" s="14" t="s">
        <v>38</v>
      </c>
      <c r="E24" s="14"/>
      <c r="F24" s="14"/>
      <c r="G24" s="14"/>
      <c r="H24" s="14"/>
      <c r="I24" s="14"/>
    </row>
    <row r="25" spans="1:20" x14ac:dyDescent="0.25">
      <c r="D25" t="str">
        <f>C5&amp;D1&amp;D2&amp;C6&amp;E1&amp;C7&amp;D1&amp;D2&amp;F2&amp;K1</f>
        <v>كَارِمَاتٌ</v>
      </c>
      <c r="E25" t="str">
        <f>C5&amp;D1&amp;D2&amp;C6&amp;E1&amp;C7&amp;D1&amp;F2&amp;D1&amp;D2&amp;G2&amp;E1</f>
        <v>كَارِمَتَانِ</v>
      </c>
      <c r="F25" t="str">
        <f>C5&amp;D1&amp;D2&amp;C6&amp;E1&amp;C7&amp;D1&amp;K2&amp;K1</f>
        <v>كَارِمَةٌ</v>
      </c>
      <c r="G25" t="str">
        <f>C5&amp;D1&amp;D2&amp;C6&amp;E1&amp;C7&amp;F1&amp;E2&amp;G1&amp;G2&amp;D1</f>
        <v>كَارِمُوْنَ</v>
      </c>
      <c r="H25" t="str">
        <f>C5&amp;D1&amp;D2&amp;C6&amp;E1&amp;C7&amp;D1&amp;D2&amp;G2&amp;E1</f>
        <v>كَارِمَانِ</v>
      </c>
      <c r="I25" t="str">
        <f>C5&amp;D1&amp;D2&amp;C6&amp;E1&amp;C7&amp;K1</f>
        <v>كَارِمٌ</v>
      </c>
      <c r="J25" t="s">
        <v>86</v>
      </c>
    </row>
    <row r="26" spans="1:20" x14ac:dyDescent="0.25">
      <c r="D26" t="str">
        <f>C5&amp;D1&amp;D2&amp;C6&amp;E1&amp;C7&amp;D1&amp;D2&amp;F2&amp;J1</f>
        <v>كَارِمَاتٍ</v>
      </c>
      <c r="E26" t="str">
        <f>C5&amp;D1&amp;D2&amp;C6&amp;E1&amp;C7&amp;D1&amp;F2&amp;D1&amp;I2&amp;G1&amp;G2&amp;E1</f>
        <v>كَارِمَتَيْنِ</v>
      </c>
      <c r="F26" t="str">
        <f>C5&amp;D1&amp;D2&amp;C6&amp;E1&amp;C7&amp;D1&amp;K2&amp;I1</f>
        <v>كَارِمَةً</v>
      </c>
      <c r="G26" t="str">
        <f>C5&amp;D1&amp;D2&amp;C6&amp;E1&amp;C7&amp;E1&amp;I2&amp;G1&amp;G2&amp;D1</f>
        <v>كَارِمِيْنَ</v>
      </c>
      <c r="H26" t="str">
        <f>C5&amp;D1&amp;D2&amp;C6&amp;E1&amp;C7&amp;D1&amp;I2&amp;G1&amp;G2&amp;E1</f>
        <v>كَارِمَيْنِ</v>
      </c>
      <c r="I26" t="str">
        <f>C5&amp;D1&amp;D2&amp;C6&amp;E1&amp;C7&amp;I1</f>
        <v>كَارِمً</v>
      </c>
      <c r="J26" t="s">
        <v>91</v>
      </c>
    </row>
    <row r="27" spans="1:20" x14ac:dyDescent="0.25">
      <c r="D27" t="str">
        <f>C5&amp;D1&amp;D2&amp;C6&amp;E1&amp;C7&amp;D1&amp;D2&amp;F2&amp;J1</f>
        <v>كَارِمَاتٍ</v>
      </c>
      <c r="E27" t="str">
        <f>C5&amp;D1&amp;D2&amp;C6&amp;E1&amp;C7&amp;D1&amp;F2&amp;D1&amp;I2&amp;G1&amp;G2&amp;E1</f>
        <v>كَارِمَتَيْنِ</v>
      </c>
      <c r="F27" t="str">
        <f>C5&amp;D1&amp;D2&amp;C6&amp;E1&amp;C7&amp;D1&amp;K2&amp;J1</f>
        <v>كَارِمَةٍ</v>
      </c>
      <c r="G27" t="str">
        <f>C5&amp;D1&amp;D2&amp;C6&amp;E1&amp;C7&amp;E1&amp;I2&amp;G1&amp;G2&amp;D1</f>
        <v>كَارِمِيْنَ</v>
      </c>
      <c r="H27" t="str">
        <f>C5&amp;D1&amp;D2&amp;C6&amp;E1&amp;C7&amp;D1&amp;I2&amp;G1&amp;G2&amp;E1</f>
        <v>كَارِمَيْنِ</v>
      </c>
      <c r="I27" t="str">
        <f>C5&amp;D1&amp;D2&amp;C6&amp;E1&amp;C7&amp;J1</f>
        <v>كَارِمٍ</v>
      </c>
      <c r="J27" t="s">
        <v>92</v>
      </c>
    </row>
    <row r="28" spans="1:20" x14ac:dyDescent="0.25">
      <c r="D28" s="14" t="s">
        <v>39</v>
      </c>
      <c r="E28" s="14"/>
      <c r="F28" s="14"/>
      <c r="G28" s="14"/>
      <c r="H28" s="14"/>
      <c r="I28" s="14"/>
    </row>
    <row r="29" spans="1:20" x14ac:dyDescent="0.25">
      <c r="D29" t="str">
        <f>H2&amp;D1&amp;C5&amp;G1&amp;C6&amp;F1&amp;E2&amp;G1&amp;C7&amp;D1&amp;D2&amp;F2&amp;K1</f>
        <v>مَكْرُوْمَاتٌ</v>
      </c>
      <c r="E29" t="str">
        <f>H2&amp;D1&amp;C5&amp;G1&amp;C6&amp;F1&amp;E2&amp;G1&amp;C7&amp;D1&amp;F2&amp;D1&amp;D2&amp;G2&amp;E1</f>
        <v>مَكْرُوْمَتَانِ</v>
      </c>
      <c r="F29" t="str">
        <f>H2&amp;D1&amp;C5&amp;G1&amp;C6&amp;F1&amp;E2&amp;G1&amp;C7&amp;D1&amp;K2&amp;K1</f>
        <v>مَكْرُوْمَةٌ</v>
      </c>
      <c r="G29" t="str">
        <f>H2&amp;D1&amp;C5&amp;G1&amp;C6&amp;F1&amp;E2&amp;G1&amp;C7&amp;F1&amp;E2&amp;G1&amp;G2&amp;D1</f>
        <v>مَكْرُوْمُوْنَ</v>
      </c>
      <c r="H29" t="str">
        <f>H2&amp;D1&amp;C5&amp;G1&amp;C6&amp;F1&amp;E2&amp;G1&amp;C7&amp;D1&amp;D2&amp;G2&amp;E1</f>
        <v>مَكْرُوْمَانِ</v>
      </c>
      <c r="I29" t="str">
        <f>H2&amp;D1&amp;C5&amp;G1&amp;C6&amp;F1&amp;E2&amp;G1&amp;C7&amp;K1</f>
        <v>مَكْرُوْمٌ</v>
      </c>
      <c r="J29" t="s">
        <v>86</v>
      </c>
    </row>
    <row r="30" spans="1:20" x14ac:dyDescent="0.25">
      <c r="D30" t="str">
        <f>H2&amp;D1&amp;C5&amp;G1&amp;C6&amp;F1&amp;E2&amp;G1&amp;C7&amp;D1&amp;D2&amp;F2&amp;J1</f>
        <v>مَكْرُوْمَاتٍ</v>
      </c>
      <c r="E30" t="str">
        <f>H2&amp;D1&amp;C5&amp;G1&amp;C6&amp;F1&amp;E2&amp;G1&amp;C7&amp;D1&amp;F2&amp;D1&amp;I2&amp;G1&amp;G2&amp;E1</f>
        <v>مَكْرُوْمَتَيْنِ</v>
      </c>
      <c r="F30" t="str">
        <f>H2&amp;D1&amp;C5&amp;G1&amp;C6&amp;F1&amp;E2&amp;G1&amp;C7&amp;D1&amp;K2&amp;I1</f>
        <v>مَكْرُوْمَةً</v>
      </c>
      <c r="G30" t="str">
        <f>H2&amp;D1&amp;C5&amp;G1&amp;C6&amp;F1&amp;E2&amp;G1&amp;C7&amp;E1&amp;I2&amp;G1&amp;G2&amp;D1</f>
        <v>مَكْرُوْمِيْنَ</v>
      </c>
      <c r="H30" t="str">
        <f>H2&amp;D1&amp;C5&amp;G1&amp;C6&amp;F1&amp;E2&amp;G1&amp;C7&amp;D1&amp;I2&amp;G1&amp;G2&amp;E1</f>
        <v>مَكْرُوْمَيْنِ</v>
      </c>
      <c r="I30" t="str">
        <f>H2&amp;D1&amp;C5&amp;G1&amp;C6&amp;F1&amp;E2&amp;G1&amp;C7&amp;I1</f>
        <v>مَكْرُوْمً</v>
      </c>
      <c r="J30" t="s">
        <v>91</v>
      </c>
    </row>
    <row r="31" spans="1:20" x14ac:dyDescent="0.25">
      <c r="D31" t="str">
        <f>H2&amp;D1&amp;C5&amp;G1&amp;C6&amp;F1&amp;E2&amp;G1&amp;C7&amp;D1&amp;D2&amp;F2&amp;J1</f>
        <v>مَكْرُوْمَاتٍ</v>
      </c>
      <c r="E31" t="str">
        <f>H2&amp;D1&amp;C5&amp;G1&amp;C6&amp;F1&amp;E2&amp;G1&amp;C7&amp;D1&amp;F2&amp;D1&amp;I2&amp;G1&amp;G2&amp;E1</f>
        <v>مَكْرُوْمَتَيْنِ</v>
      </c>
      <c r="F31" t="str">
        <f>H2&amp;D1&amp;C5&amp;G1&amp;C6&amp;F1&amp;E2&amp;G1&amp;C7&amp;D1&amp;K2&amp;J1</f>
        <v>مَكْرُوْمَةٍ</v>
      </c>
      <c r="G31" t="str">
        <f>H2&amp;D1&amp;C5&amp;G1&amp;C6&amp;F1&amp;E2&amp;G1&amp;C7&amp;D1&amp;I2&amp;G1&amp;G2&amp;E1</f>
        <v>مَكْرُوْمَيْنِ</v>
      </c>
      <c r="H31" t="str">
        <f>H2&amp;D1&amp;C5&amp;G1&amp;C6&amp;F1&amp;E2&amp;G1&amp;C7&amp;D1&amp;I2&amp;G1&amp;G2&amp;E1</f>
        <v>مَكْرُوْمَيْنِ</v>
      </c>
      <c r="I31" t="str">
        <f>H2&amp;D1&amp;C5&amp;G1&amp;C6&amp;F1&amp;E2&amp;G1&amp;C7&amp;J1</f>
        <v>مَكْرُوْمٍ</v>
      </c>
      <c r="J31" t="s">
        <v>92</v>
      </c>
    </row>
    <row r="32" spans="1:20" x14ac:dyDescent="0.25">
      <c r="D32" s="14" t="s">
        <v>40</v>
      </c>
      <c r="E32" s="14"/>
      <c r="F32" s="14"/>
      <c r="G32" s="14"/>
      <c r="H32" s="14"/>
      <c r="I32" s="14"/>
    </row>
    <row r="33" spans="4:9" x14ac:dyDescent="0.25">
      <c r="D33" t="str">
        <f>C5&amp;F1&amp;C6&amp;G1&amp;C7&amp;D1&amp;I2&amp;D1&amp;D2&amp;F2&amp;K1</f>
        <v>كُرْمَيَاتٌ</v>
      </c>
      <c r="E33" t="str">
        <f>C5&amp;F1&amp;C6&amp;G1&amp;C7&amp;D1&amp;I2&amp;D1&amp;D2&amp;G2&amp;E1</f>
        <v>كُرْمَيَانِ</v>
      </c>
      <c r="F33" t="str">
        <f>C5&amp;F1&amp;C6&amp;G1&amp;C7&amp;D1&amp;M2</f>
        <v>كُرْمَى</v>
      </c>
      <c r="G33" t="str">
        <f>J2&amp;D1&amp;C5&amp;G1&amp;C6&amp;D1&amp;C7&amp;F1&amp;E2&amp;G1&amp;G2&amp;D1</f>
        <v>أَكْرَمُوْنَ</v>
      </c>
      <c r="H33" t="str">
        <f>J2&amp;D1&amp;C5&amp;G1&amp;C6&amp;D1&amp;C7&amp;D1&amp;D2&amp;G2&amp;E1</f>
        <v>أَكْرَمَانِ</v>
      </c>
      <c r="I33" t="str">
        <f>J2&amp;D1&amp;C5&amp;G1&amp;C6&amp;D1&amp;C7&amp;F1</f>
        <v>أَكْرَمُ</v>
      </c>
    </row>
    <row r="34" spans="4:9" x14ac:dyDescent="0.25">
      <c r="D34" t="str">
        <f>C5&amp;F1&amp;C6&amp;D1&amp;C7&amp;K1</f>
        <v>كُرَمٌ</v>
      </c>
      <c r="G34" t="str">
        <f>J2&amp;D1&amp;C5&amp;D1&amp;D2&amp;C6&amp;E1&amp;C7&amp;F1</f>
        <v>أَكَارِمُ</v>
      </c>
    </row>
    <row r="36" spans="4:9" x14ac:dyDescent="0.25">
      <c r="D36" s="14" t="s">
        <v>41</v>
      </c>
      <c r="E36" s="14"/>
      <c r="F36" s="14"/>
      <c r="G36" s="14"/>
      <c r="H36" s="14"/>
      <c r="I36" s="14"/>
    </row>
    <row r="37" spans="4:9" x14ac:dyDescent="0.25">
      <c r="G37" t="str">
        <f>H2&amp;D1&amp;C5&amp;D1&amp;D2&amp;C6&amp;E1&amp;C7&amp;F1</f>
        <v>مَكَارِمُ</v>
      </c>
      <c r="H37" t="str">
        <f>H2&amp;D1&amp;C5&amp;G1&amp;C6&amp;U11&amp;C7&amp;D1&amp;D2&amp;G2&amp;E1</f>
        <v>مَكْرَمَانِ</v>
      </c>
      <c r="I37" t="str">
        <f>H2&amp;D1&amp;C5&amp;G1&amp;C6&amp;U11&amp;C7&amp;F1</f>
        <v>مَكْرَمُ</v>
      </c>
    </row>
    <row r="38" spans="4:9" x14ac:dyDescent="0.25">
      <c r="H38" t="str">
        <f>H2&amp;D1&amp;C5&amp;G1&amp;C6&amp;U11&amp;C7&amp;D1&amp;F2&amp;D1&amp;D2&amp;G2&amp;E1</f>
        <v>مَكْرَمَتَانِ</v>
      </c>
      <c r="I38" t="str">
        <f>H2&amp;D1&amp;C5&amp;G1&amp;C6&amp;U11&amp;C7&amp;D1&amp;K2&amp;K1</f>
        <v>مَكْرَمَةٌ</v>
      </c>
    </row>
    <row r="40" spans="4:9" x14ac:dyDescent="0.25">
      <c r="D40" s="14" t="s">
        <v>42</v>
      </c>
      <c r="E40" s="14"/>
      <c r="F40" s="14"/>
      <c r="G40" s="14"/>
      <c r="H40" s="14"/>
      <c r="I40" s="14"/>
    </row>
    <row r="41" spans="4:9" x14ac:dyDescent="0.25">
      <c r="D41" s="8"/>
      <c r="E41" s="8"/>
      <c r="F41" s="8"/>
      <c r="G41" s="8"/>
      <c r="H41" s="8"/>
      <c r="I41" s="8"/>
    </row>
    <row r="42" spans="4:9" hidden="1" x14ac:dyDescent="0.25">
      <c r="D42" s="8"/>
      <c r="E42" s="8" t="b">
        <v>0</v>
      </c>
      <c r="F42" s="8" t="b">
        <v>0</v>
      </c>
      <c r="G42" s="8" t="b">
        <v>0</v>
      </c>
      <c r="H42" s="8" t="b">
        <v>0</v>
      </c>
      <c r="I42" s="8" t="b">
        <v>0</v>
      </c>
    </row>
    <row r="43" spans="4:9" x14ac:dyDescent="0.25">
      <c r="D43" s="3"/>
      <c r="E43" s="4" t="s">
        <v>43</v>
      </c>
      <c r="F43" s="4" t="s">
        <v>44</v>
      </c>
      <c r="G43" s="4" t="s">
        <v>45</v>
      </c>
      <c r="H43" s="4" t="s">
        <v>46</v>
      </c>
      <c r="I43" s="4" t="s">
        <v>47</v>
      </c>
    </row>
    <row r="44" spans="4:9" x14ac:dyDescent="0.25">
      <c r="D44" s="3"/>
      <c r="E44" s="5" t="str">
        <f>IF(E42, C5&amp;D1&amp;C6&amp;G1&amp;C7&amp;D1&amp;D2&amp;G2&amp;F1, "")</f>
        <v/>
      </c>
      <c r="F44" s="5" t="str">
        <f>IF(F42, J2&amp;D1&amp;C5&amp;G1&amp;C6&amp;D1&amp;C7&amp;F1, "")</f>
        <v/>
      </c>
      <c r="G44" s="5" t="str">
        <f>IF(G42, C5&amp;D1&amp;C6&amp;F1&amp;E2&amp;G1&amp;C7&amp;K1,"")</f>
        <v/>
      </c>
      <c r="H44" s="5" t="str">
        <f>IF(H42, C5&amp;F1&amp;C6&amp;D1&amp;D2&amp;C7&amp;K1,"")</f>
        <v/>
      </c>
      <c r="I44" s="5" t="str">
        <f>IF(I42, C5&amp;D1&amp;C6&amp;E1&amp;I2&amp;G1&amp;C7&amp;K1, "")</f>
        <v/>
      </c>
    </row>
    <row r="45" spans="4:9" x14ac:dyDescent="0.25">
      <c r="D45" s="3"/>
      <c r="E45" s="3"/>
      <c r="F45" s="3"/>
      <c r="G45" s="3"/>
      <c r="H45" s="3"/>
      <c r="I45" s="3"/>
    </row>
    <row r="46" spans="4:9" x14ac:dyDescent="0.25">
      <c r="D46" s="14" t="s">
        <v>48</v>
      </c>
      <c r="E46" s="14"/>
      <c r="F46" s="14"/>
      <c r="G46" s="14"/>
      <c r="H46" s="14"/>
      <c r="I46" s="14"/>
    </row>
    <row r="47" spans="4:9" x14ac:dyDescent="0.25">
      <c r="D47" s="8"/>
      <c r="E47" s="8"/>
      <c r="F47" s="8"/>
      <c r="G47" s="8"/>
      <c r="H47" s="8"/>
      <c r="I47" s="8"/>
    </row>
    <row r="48" spans="4:9" hidden="1" x14ac:dyDescent="0.25">
      <c r="D48" s="8" t="b">
        <v>0</v>
      </c>
      <c r="E48" s="8" t="b">
        <v>0</v>
      </c>
      <c r="F48" s="8" t="b">
        <v>0</v>
      </c>
      <c r="G48" s="8" t="b">
        <v>0</v>
      </c>
      <c r="H48" s="8" t="b">
        <v>0</v>
      </c>
      <c r="I48" s="8" t="b">
        <v>0</v>
      </c>
    </row>
    <row r="49" spans="1:17" x14ac:dyDescent="0.25">
      <c r="D49" s="4" t="s">
        <v>49</v>
      </c>
      <c r="E49" s="4" t="s">
        <v>50</v>
      </c>
      <c r="F49" s="4" t="s">
        <v>51</v>
      </c>
      <c r="G49" s="4" t="s">
        <v>47</v>
      </c>
      <c r="H49" s="4" t="s">
        <v>52</v>
      </c>
      <c r="I49" s="4" t="s">
        <v>53</v>
      </c>
    </row>
    <row r="50" spans="1:17" x14ac:dyDescent="0.25">
      <c r="D50" s="5" t="str">
        <f>IF(D48, C5&amp;F1&amp;C6&amp;H1&amp;F1&amp;E2&amp;G1&amp;C7&amp;K1,"")</f>
        <v/>
      </c>
      <c r="E50" s="5" t="str">
        <f>IF(E48, C5&amp;D1&amp;C6&amp;H1&amp;F1&amp;E2&amp;G1&amp;C7&amp;K1,"")</f>
        <v/>
      </c>
      <c r="F50" s="5" t="str">
        <f>IF(F48, C5&amp;D1&amp;D2&amp;C6&amp;F1&amp;E2&amp;G1&amp;C7&amp;K1,"")</f>
        <v/>
      </c>
      <c r="G50" s="5" t="str">
        <f>IF(G48, C5&amp;D1&amp;C6&amp;E1&amp;I2&amp;G1&amp;C7&amp;K1,"")</f>
        <v/>
      </c>
      <c r="H50" s="5" t="str">
        <f>IF(H48, C5&amp;F1&amp;C6&amp;H1&amp;D1&amp;D2&amp;C7&amp;K1,"")</f>
        <v/>
      </c>
      <c r="I50" s="5" t="str">
        <f>IF(I48, C5&amp;D1&amp;C6&amp;H1&amp;D1&amp;D2&amp;C7&amp;K1, "")</f>
        <v/>
      </c>
    </row>
    <row r="51" spans="1:17" x14ac:dyDescent="0.25">
      <c r="D51" s="3"/>
      <c r="E51" s="3"/>
      <c r="F51" s="3"/>
      <c r="G51" s="3"/>
      <c r="H51" s="3"/>
      <c r="I51" s="3"/>
    </row>
    <row r="52" spans="1:17" x14ac:dyDescent="0.25">
      <c r="D52" s="14" t="s">
        <v>54</v>
      </c>
      <c r="E52" s="14"/>
      <c r="F52" s="14"/>
      <c r="G52" s="14"/>
      <c r="H52" s="14"/>
      <c r="I52" s="14"/>
    </row>
    <row r="53" spans="1:17" x14ac:dyDescent="0.25">
      <c r="D53" s="8"/>
      <c r="E53" s="8"/>
      <c r="F53" s="8"/>
      <c r="G53" s="8"/>
      <c r="H53" s="8"/>
      <c r="I53" s="8"/>
    </row>
    <row r="54" spans="1:17" hidden="1" x14ac:dyDescent="0.25">
      <c r="D54" s="8"/>
      <c r="E54" s="8" t="b">
        <v>0</v>
      </c>
      <c r="F54" s="8"/>
      <c r="G54" s="8" t="b">
        <v>0</v>
      </c>
      <c r="H54" s="8"/>
      <c r="I54" s="8" t="b">
        <v>0</v>
      </c>
    </row>
    <row r="55" spans="1:17" x14ac:dyDescent="0.25">
      <c r="D55" s="5" t="str">
        <f>IF(E54, H2&amp;E1&amp;C5&amp;G1&amp;C6&amp;D1&amp;D2&amp;C7&amp;K1,"")</f>
        <v/>
      </c>
      <c r="E55" s="4" t="s">
        <v>55</v>
      </c>
      <c r="F55" s="5" t="str">
        <f>IF(G54, H2&amp;E1&amp;C5&amp;G1&amp;C6&amp;D1&amp;C7&amp;D1&amp;K2&amp;K1,"")</f>
        <v/>
      </c>
      <c r="G55" s="4" t="s">
        <v>56</v>
      </c>
      <c r="H55" s="5" t="str">
        <f>IF(I54, H2&amp;E1&amp;C5&amp;G1&amp;C6&amp;D1&amp;C7&amp;K1,"")</f>
        <v/>
      </c>
      <c r="I55" s="4" t="s">
        <v>57</v>
      </c>
    </row>
    <row r="56" spans="1:17" x14ac:dyDescent="0.25">
      <c r="D56" s="5" t="str">
        <f>IF(E54, H2&amp;E1&amp;C5&amp;G1&amp;C6&amp;D1&amp;D2&amp;C7&amp;D1&amp;D2&amp;G2&amp;E1,"")</f>
        <v/>
      </c>
      <c r="E56" s="4" t="s">
        <v>58</v>
      </c>
      <c r="F56" s="5" t="str">
        <f>IF(G54, H2&amp;E1&amp;C5&amp;G1&amp;C6&amp;D1&amp;C7&amp;D1&amp;F2&amp;D1&amp;D2&amp;G2&amp;E1,"")</f>
        <v/>
      </c>
      <c r="G56" s="4" t="s">
        <v>59</v>
      </c>
      <c r="H56" s="5" t="str">
        <f>IF(I54, H2&amp;E1&amp;C5&amp;G1&amp;C6&amp;D1&amp;C7&amp;D1&amp;D2&amp;G2&amp;E1,"")</f>
        <v/>
      </c>
      <c r="I56" s="4" t="s">
        <v>60</v>
      </c>
    </row>
    <row r="57" spans="1:17" x14ac:dyDescent="0.25">
      <c r="D57" s="5" t="str">
        <f>IF(E54, H2&amp;D1&amp;C5&amp;D1&amp;D2&amp;C6&amp;E1&amp;I2&amp;G1&amp;C7&amp;F1,"")</f>
        <v/>
      </c>
      <c r="E57" s="6" t="s">
        <v>61</v>
      </c>
      <c r="F57" s="5" t="str">
        <f>IF(G54, H2&amp;D1&amp;C5&amp;D1&amp;D2&amp;C6&amp;E1&amp;C7&amp;F1,"")</f>
        <v/>
      </c>
      <c r="G57" s="6" t="s">
        <v>62</v>
      </c>
      <c r="H57" s="5" t="str">
        <f>IF(I54, H2&amp;D1&amp;C5&amp;D1&amp;D2&amp;C6&amp;E1&amp;C7&amp;F1,"")</f>
        <v/>
      </c>
      <c r="I57" s="6" t="s">
        <v>62</v>
      </c>
    </row>
    <row r="59" spans="1:17" ht="15" customHeight="1" x14ac:dyDescent="0.25">
      <c r="D59" s="14" t="s">
        <v>63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</row>
    <row r="60" spans="1:17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7" x14ac:dyDescent="0.25">
      <c r="C61" s="7"/>
      <c r="D61" t="str">
        <f>IF(Q61, L2&amp;D1&amp;D2&amp;F2&amp;F1&amp;C5&amp;G1&amp;C6&amp;E1&amp;C7&amp;G1, "")</f>
        <v>لَاتُكْرِمْ</v>
      </c>
      <c r="E61" t="str">
        <f>IF(Q61, J2&amp;D1&amp;C5&amp;G1&amp;C6&amp;E1&amp;C7&amp;G1, "")</f>
        <v>أَكْرِمْ</v>
      </c>
      <c r="F61" t="str">
        <f>IF(Q61, H2&amp;F1&amp;C5&amp;G1&amp;C6&amp;D1&amp;C7&amp;K1, "")</f>
        <v>مُكْرَمٌ</v>
      </c>
      <c r="G61" t="str">
        <f>IF(Q61, D2&amp;E1&amp;C5&amp;G1&amp;C6&amp;D1&amp;D2&amp;C7&amp;I1&amp;D2, "")</f>
        <v>اِكْرَامًا</v>
      </c>
      <c r="H61" t="str">
        <f>IF(Q61, I2&amp;F1&amp;C5&amp;G1&amp;C6&amp;D1&amp;C7&amp;F1, "")</f>
        <v>يُكْرَمُ</v>
      </c>
      <c r="I61" t="str">
        <f>IF(Q61, J2&amp;F1&amp;C5&amp;G1&amp;C6&amp;E1&amp;C7&amp;D1, "")</f>
        <v>أُكْرِمَ</v>
      </c>
      <c r="J61" t="str">
        <f>IF(Q61, H2&amp;F1&amp;C5&amp;G1&amp;C6&amp;E1&amp;C7&amp;K1, "")</f>
        <v>مُكْرِمٌ</v>
      </c>
      <c r="K61" t="str">
        <f>IF(Q61, D2&amp;E1&amp;C5&amp;G1&amp;C6&amp;D1&amp;D2&amp;C7&amp;I1&amp;D2, "")</f>
        <v>اِكْرَامًا</v>
      </c>
      <c r="L61" t="str">
        <f>IF(Q61, I2&amp;F1&amp;C5&amp;G1&amp;C6&amp;E1&amp;C7&amp;F1, "")</f>
        <v>يُكْرِمُ</v>
      </c>
      <c r="M61" t="str">
        <f>IF(Q61, J2&amp;D1&amp;C5&amp;G1&amp;C6&amp;D1&amp;C7&amp;D1, "")</f>
        <v>أَكْرَمَ</v>
      </c>
      <c r="N61" s="7" t="s">
        <v>64</v>
      </c>
      <c r="O61" s="7" t="s">
        <v>65</v>
      </c>
      <c r="Q61" t="b">
        <v>1</v>
      </c>
    </row>
    <row r="62" spans="1:17" x14ac:dyDescent="0.25">
      <c r="C62" s="7"/>
      <c r="D62" t="str">
        <f>IF(Q62, L2&amp;D1&amp;D2&amp;F2&amp;F1&amp;C5&amp;D1&amp;C6&amp;H1&amp;E1&amp;C7&amp;G1, "")</f>
        <v>لَاتُكَرِّمْ</v>
      </c>
      <c r="E62" t="str">
        <f>IF(Q62, C5&amp;D1&amp;C6&amp;H1&amp;E1&amp;C7&amp;G1, "")</f>
        <v>كَرِّمْ</v>
      </c>
      <c r="F62" t="str">
        <f>IF(Q62, H2&amp;F1&amp;C5&amp;D1&amp;C6&amp;H1&amp;D1&amp;C7&amp;K1, "")</f>
        <v>مُكَرَّمٌ</v>
      </c>
      <c r="G62" t="str">
        <f>IF(Q62, F2&amp;D1&amp;C5&amp;G1&amp;C6&amp;E1&amp;I2&amp;G1&amp;C7&amp;I1&amp;D2, "")</f>
        <v>تَكْرِيْمًا</v>
      </c>
      <c r="H62" t="str">
        <f>IF(Q62, I2&amp;F1&amp;C5&amp;D1&amp;C6&amp;H1&amp;D1&amp;C7&amp;F1, "")</f>
        <v>يُكَرَّمُ</v>
      </c>
      <c r="I62" t="str">
        <f>IF(Q62, C5&amp;F1&amp;C6&amp;H1&amp;E1&amp;C7&amp;D1, "")</f>
        <v>كُرِّمَ</v>
      </c>
      <c r="J62" t="str">
        <f>IF(Q62, H2&amp;F1&amp;C5&amp;D1&amp;C6&amp;H1&amp;E1&amp;C7&amp;K1, "")</f>
        <v>مُكَرِّمٌ</v>
      </c>
      <c r="K62" t="str">
        <f>IF(Q62, F2&amp;D1&amp;C5&amp;G1&amp;C6&amp;E1&amp;I2&amp;G1&amp;C7&amp;I1&amp;D2, "")</f>
        <v>تَكْرِيْمًا</v>
      </c>
      <c r="L62" t="str">
        <f>IF(Q62, I2&amp;F1&amp;C5&amp;D1&amp;C6&amp;H1&amp;E1&amp;C7&amp;F1, "")</f>
        <v>يُكَرِّمُ</v>
      </c>
      <c r="M62" t="str">
        <f>IF(Q62, C5&amp;D1&amp;C6&amp;H1&amp;D1&amp;C7&amp;D1, "")</f>
        <v>كَرَّمَ</v>
      </c>
      <c r="N62" s="7" t="s">
        <v>66</v>
      </c>
      <c r="O62" s="7" t="s">
        <v>67</v>
      </c>
      <c r="Q62" t="b">
        <v>1</v>
      </c>
    </row>
    <row r="63" spans="1:17" x14ac:dyDescent="0.25">
      <c r="C63" s="7"/>
      <c r="D63" t="str">
        <f>IF(Q63, L2&amp;D1&amp;D2&amp;F2&amp;F1&amp;C5&amp;D1&amp;D2&amp;C6&amp;E1&amp;C7&amp;G1, "")</f>
        <v>لَاتُكَارِمْ</v>
      </c>
      <c r="E63" t="str">
        <f>IF(Q63, C5&amp;D1&amp;D2&amp;C6&amp;E1&amp;C7&amp;G1, "")</f>
        <v>كَارِمْ</v>
      </c>
      <c r="F63" t="str">
        <f>IF(Q63, H2&amp;F1&amp;C5&amp;D1&amp;D2&amp;C6&amp;D1&amp;C7&amp;K1, "")</f>
        <v>مُكَارَمٌ</v>
      </c>
      <c r="G63" t="str">
        <f>IF(Q63, H2&amp;F1&amp;C5&amp;D1&amp;D2&amp;C6&amp;D1&amp;C7&amp;D1&amp;K2&amp;I1, "")</f>
        <v>مُكَارَمَةً</v>
      </c>
      <c r="H63" t="str">
        <f>IF(Q63, I2&amp;F1&amp;C5&amp;D1&amp;D2&amp;C6&amp;D1&amp;C7&amp;F1, "")</f>
        <v>يُكَارَمُ</v>
      </c>
      <c r="I63" t="str">
        <f>IF(Q63, C5&amp;F1&amp;E2&amp;G1&amp;C6&amp;E1&amp;C7&amp;D1, "")</f>
        <v>كُوْرِمَ</v>
      </c>
      <c r="J63" t="str">
        <f>IF(Q63, H2&amp;F1&amp;C5&amp;D1&amp;D2&amp;C6&amp;E1&amp;C7&amp;K1, "")</f>
        <v>مُكَارِمٌ</v>
      </c>
      <c r="K63" t="str">
        <f>IF(Q63, H2&amp;F1&amp;C5&amp;D1&amp;D2&amp;C6&amp;D1&amp;C7&amp;D1&amp;K2&amp;I1&amp;L1&amp;C5&amp;E1&amp;C6&amp;D1&amp;D2&amp;C7&amp;I1&amp;D2, "")</f>
        <v>مُكَارَمَةً / كِرَامًا</v>
      </c>
      <c r="L63" t="str">
        <f>IF(Q63, I2&amp;F1&amp;C5&amp;D1&amp;D2&amp;C6&amp;E1&amp;C7&amp;F1, "")</f>
        <v>يُكَارِمُ</v>
      </c>
      <c r="M63" t="str">
        <f>IF(Q63, C5&amp;D1&amp;D2&amp;C6&amp;D1&amp;C7&amp;D1, "")</f>
        <v>كَارَمَ</v>
      </c>
      <c r="N63" s="7" t="s">
        <v>68</v>
      </c>
      <c r="O63" s="7" t="s">
        <v>69</v>
      </c>
      <c r="Q63" t="b">
        <v>1</v>
      </c>
    </row>
    <row r="64" spans="1:17" x14ac:dyDescent="0.25">
      <c r="C64" s="7"/>
      <c r="D64" t="str">
        <f>IF(Q64, L2&amp;D1&amp;D2&amp;F2&amp;D1&amp;F2&amp;D1&amp;C5&amp;D1&amp;C6&amp;H1&amp;D1&amp;C7&amp;G1, "")</f>
        <v>لَاتَتَكَرَّمْ</v>
      </c>
      <c r="E64" t="str">
        <f>IF(Q64, F2&amp;D1&amp;C5&amp;D1&amp;C6&amp;H1&amp;D1&amp;C7&amp;G1, "")</f>
        <v>تَكَرَّمْ</v>
      </c>
      <c r="F64" t="str">
        <f>IF(Q64, H2&amp;F1&amp;F2&amp;D1&amp;C5&amp;D1&amp;C6&amp;H1&amp;D1&amp;C7&amp;K1, "")</f>
        <v>مُتَكَرَّمٌ</v>
      </c>
      <c r="G64" t="str">
        <f>IF(Q64, F2&amp;D1&amp;C5&amp;D1&amp;C6&amp;H1&amp;F1&amp;C7&amp;I1&amp;D2, "")</f>
        <v>تَكَرُّمًا</v>
      </c>
      <c r="H64" t="str">
        <f>IF(Q64, I2&amp;F1&amp;F2&amp;D1&amp;C5&amp;D1&amp;C6&amp;H1&amp;D1&amp;C7&amp;F1, "")</f>
        <v>يُتَكَرَّمُ</v>
      </c>
      <c r="I64" t="str">
        <f>IF(Q64, F2&amp;F1&amp;C5&amp;F1&amp;C6&amp;H1&amp;E1&amp;C7&amp;D1, "")</f>
        <v>تُكُرِّمَ</v>
      </c>
      <c r="J64" t="str">
        <f>IF(Q64, H2&amp;F1&amp;F2&amp;D1&amp;C5&amp;D1&amp;C6&amp;H1&amp;E1&amp;C7&amp;K1, "")</f>
        <v>مُتَكَرِّمٌ</v>
      </c>
      <c r="K64" t="str">
        <f>IF(Q64, F2&amp;D1&amp;C5&amp;D1&amp;C6&amp;H1&amp;F1&amp;C7&amp;I1&amp;D2, "")</f>
        <v>تَكَرُّمًا</v>
      </c>
      <c r="L64" t="str">
        <f>IF(Q64, I2&amp;D1&amp;F2&amp;D1&amp;C5&amp;D1&amp;C6&amp;H1&amp;D1&amp;C7&amp;F1, "")</f>
        <v>يَتَكَرَّمُ</v>
      </c>
      <c r="M64" t="str">
        <f>IF(Q64, F2&amp;D1&amp;C5&amp;D1&amp;C6&amp;H1&amp;D1&amp;C7&amp;D1, "")</f>
        <v>تَكَرَّمَ</v>
      </c>
      <c r="N64" s="7" t="s">
        <v>70</v>
      </c>
      <c r="O64" s="7" t="s">
        <v>71</v>
      </c>
      <c r="Q64" t="b">
        <v>1</v>
      </c>
    </row>
    <row r="65" spans="3:17" x14ac:dyDescent="0.25">
      <c r="C65" s="7"/>
      <c r="D65" t="str">
        <f>IF(Q65, L2&amp;D1&amp;D2&amp;F2&amp;D1&amp;F2&amp;D1&amp;C5&amp;D1&amp;D2&amp;C6&amp;D1&amp;C7&amp;G1, "")</f>
        <v>لَاتَتَكَارَمْ</v>
      </c>
      <c r="E65" t="str">
        <f>IF(Q65, F2&amp;D1&amp;C5&amp;D1&amp;D2&amp;C6&amp;D1&amp;C7&amp;G1, "")</f>
        <v>تَكَارَمْ</v>
      </c>
      <c r="F65" t="str">
        <f>IF(Q65, H2&amp;F1&amp;F2&amp;D1&amp;C5&amp;D1&amp;D2&amp;C6&amp;D1&amp;C7&amp;K1, "")</f>
        <v>مُتَكَارَمٌ</v>
      </c>
      <c r="G65" t="str">
        <f>IF(Q65, F2&amp;D1&amp;C5&amp;D1&amp;D2&amp;C6&amp;F1&amp;C7&amp;I1&amp;D2, "")</f>
        <v>تَكَارُمًا</v>
      </c>
      <c r="H65" t="str">
        <f>IF(Q65, I2&amp;F1&amp;F2&amp;D1&amp;C5&amp;D1&amp;D2&amp;C6&amp;D1&amp;C7&amp;F1, "")</f>
        <v>يُتَكَارَمُ</v>
      </c>
      <c r="I65" t="str">
        <f>IF(Q65, F2&amp;F1&amp;C5&amp;F1&amp;E2&amp;G1&amp;C6&amp;E1&amp;C7&amp;D1, "")</f>
        <v>تُكُوْرِمَ</v>
      </c>
      <c r="J65" t="str">
        <f>IF(Q65, H2&amp;F1&amp;F2&amp;D1&amp;C5&amp;D1&amp;D2&amp;C6&amp;E1&amp;C7&amp;K1, "")</f>
        <v>مُتَكَارِمٌ</v>
      </c>
      <c r="K65" t="str">
        <f>IF(Q65, F2&amp;D1&amp;C5&amp;D1&amp;D2&amp;C6&amp;F1&amp;C7&amp;I1&amp;D2, "")</f>
        <v>تَكَارُمًا</v>
      </c>
      <c r="L65" t="str">
        <f>IF(Q65, I2&amp;D1&amp;F2&amp;D1&amp;C5&amp;D1&amp;D2&amp;C6&amp;D1&amp;C7&amp;F1, "")</f>
        <v>يَتَكَارَمُ</v>
      </c>
      <c r="M65" t="str">
        <f>IF(Q65, F2&amp;D1&amp;C5&amp;D1&amp;D2&amp;C6&amp;D1&amp;C7&amp;D1, "")</f>
        <v>تَكَارَمَ</v>
      </c>
      <c r="N65" s="7" t="s">
        <v>72</v>
      </c>
      <c r="O65" s="7" t="s">
        <v>73</v>
      </c>
      <c r="Q65" t="b">
        <v>1</v>
      </c>
    </row>
    <row r="66" spans="3:17" x14ac:dyDescent="0.25">
      <c r="C66" s="7"/>
      <c r="N66" s="7"/>
      <c r="O66" s="7"/>
    </row>
    <row r="67" spans="3:17" x14ac:dyDescent="0.25">
      <c r="C67" s="7"/>
      <c r="D67" t="str">
        <f>IF(Q67, L2&amp;D1&amp;D2&amp;F2&amp;D1&amp;C5&amp;G1&amp;F2&amp;D1&amp;C6&amp;E1&amp;C7&amp;G1, "")</f>
        <v>لَاتَكْتَرِمْ</v>
      </c>
      <c r="E67" t="str">
        <f>IF(Q67, D2&amp;E1&amp;C5&amp;G1&amp;F2&amp;D1&amp;C6&amp;E1&amp;C7&amp;G1, "")</f>
        <v>اِكْتَرِمْ</v>
      </c>
      <c r="F67" t="str">
        <f>IF(Q67, H2&amp;F1&amp;C5&amp;G1&amp;F2&amp;D1&amp;C6&amp;D1&amp;C7&amp;K1, "")</f>
        <v>مُكْتَرَمٌ</v>
      </c>
      <c r="G67" t="str">
        <f>IF(Q67, D2&amp;E1&amp;C5&amp;G1&amp;F2&amp;E1&amp;C6&amp;D1&amp;D2&amp;C7&amp;I1&amp;D2, "")</f>
        <v>اِكْتِرَامًا</v>
      </c>
      <c r="H67" t="str">
        <f>IF(Q67, I2&amp;F1&amp;C5&amp;G1&amp;F2&amp;D1&amp;C6&amp;D1&amp;C7&amp;F1, "")</f>
        <v>يُكْتَرَمُ</v>
      </c>
      <c r="I67" t="str">
        <f>IF(Q67, D2&amp;F1&amp;C5&amp;G1&amp;F2&amp;F1&amp;C6&amp;E1&amp;C7&amp;D1, "")</f>
        <v>اُكْتُرِمَ</v>
      </c>
      <c r="J67" t="str">
        <f>IF(Q67, H2&amp;F1&amp;C5&amp;G1&amp;F2&amp;D1&amp;C6&amp;E1&amp;C7&amp;K1, "")</f>
        <v>مُكْتَرِمٌ</v>
      </c>
      <c r="K67" t="str">
        <f>IF(Q67, D2&amp;E1&amp;C5&amp;G1&amp;F2&amp;E1&amp;C6&amp;D1&amp;D2&amp;C7&amp;I1&amp;D2, "")</f>
        <v>اِكْتِرَامًا</v>
      </c>
      <c r="L67" t="str">
        <f>IF(Q67, I2&amp;D1&amp;C5&amp;G1&amp;F2&amp;D1&amp;C6&amp;E1&amp;C7&amp;F1, "")</f>
        <v>يَكْتَرِمُ</v>
      </c>
      <c r="M67" t="str">
        <f>IF(Q67, D2&amp;E1&amp;C5&amp;G1&amp;F2&amp;D1&amp;C6&amp;D1&amp;C7&amp;D1, "")</f>
        <v>اِكْتَرَمَ</v>
      </c>
      <c r="N67" s="7" t="s">
        <v>74</v>
      </c>
      <c r="O67" s="7" t="s">
        <v>75</v>
      </c>
      <c r="Q67" t="b">
        <v>1</v>
      </c>
    </row>
    <row r="68" spans="3:17" x14ac:dyDescent="0.25">
      <c r="C68" s="7"/>
      <c r="D68" t="str">
        <f>IF(Q68, L2&amp;D1&amp;D2&amp;F2&amp;D1&amp;G2&amp;G1&amp;C5&amp;D1&amp;C6&amp;E1&amp;C7&amp;G1, "")</f>
        <v>لَاتَنْكَرِمْ</v>
      </c>
      <c r="E68" t="str">
        <f>IF(Q68, D2&amp;E1&amp;G2&amp;G1&amp;C5&amp;D1&amp;C6&amp;E1&amp;C7&amp;G1, "")</f>
        <v>اِنْكَرِمْ</v>
      </c>
      <c r="J68" t="str">
        <f>IF(Q68, H2&amp;F1&amp;G2&amp;G1&amp;C5&amp;D1&amp;C6&amp;E1&amp;C7&amp;K1, "")</f>
        <v>مُنْكَرِمٌ</v>
      </c>
      <c r="K68" t="str">
        <f>IF(Q68, D2&amp;E1&amp;G2&amp;G1&amp;C5&amp;E1&amp;C6&amp;D1&amp;D2&amp;C7&amp;I1&amp;D2, "")</f>
        <v>اِنْكِرَامًا</v>
      </c>
      <c r="L68" t="str">
        <f>IF(Q68, I2&amp;D1&amp;G2&amp;G1&amp;C5&amp;D1&amp;C6&amp;E1&amp;C7&amp;F1, "")</f>
        <v>يَنْكَرِمُ</v>
      </c>
      <c r="M68" t="str">
        <f>IF(Q68, D2&amp;E1&amp;G2&amp;G1&amp;C5&amp;D1&amp;C6&amp;D1&amp;C7&amp;D1, "")</f>
        <v>اِنْكَرَمَ</v>
      </c>
      <c r="N68" s="7" t="s">
        <v>76</v>
      </c>
      <c r="O68" s="7" t="s">
        <v>77</v>
      </c>
      <c r="Q68" t="b">
        <v>1</v>
      </c>
    </row>
    <row r="69" spans="3:17" x14ac:dyDescent="0.25">
      <c r="C69" s="7"/>
      <c r="D69" t="str">
        <f>IF(Q69, L2&amp;D1&amp;D2&amp;F2&amp;D1&amp;C5&amp;G1&amp;C6&amp;D1&amp;C7&amp;H1&amp;D1, "")</f>
        <v>لَاتَكْرَمَّ</v>
      </c>
      <c r="E69" t="str">
        <f>IF(Q69, D2&amp;E1&amp;C5&amp;G1&amp;C6&amp;D1&amp;C7&amp;H1&amp;D1, "")</f>
        <v>اِكْرَمَّ</v>
      </c>
      <c r="J69" t="str">
        <f>IF(Q69, H2&amp;F1&amp;C5&amp;G1&amp;C6&amp;D1&amp;C7&amp;H1&amp;K1, "")</f>
        <v>مُكْرَمٌّ</v>
      </c>
      <c r="K69" t="str">
        <f>IF(Q69, D2&amp;E1&amp;C5&amp;G1&amp;C6&amp;E1&amp;C7&amp;D1&amp;D2&amp;C7&amp;I1&amp;D2, "")</f>
        <v>اِكْرِمَامًا</v>
      </c>
      <c r="L69" t="str">
        <f>IF(Q69, I2&amp;D1&amp;C5&amp;G1&amp;C6&amp;D1&amp;C7&amp;H1&amp;F1, "")</f>
        <v>يَكْرَمُّ</v>
      </c>
      <c r="M69" t="str">
        <f>IF(Q69, D2&amp;E1&amp;C5&amp;G1&amp;C6&amp;D1&amp;C7&amp;H1&amp;D1, "")</f>
        <v>اِكْرَمَّ</v>
      </c>
      <c r="N69" s="7" t="s">
        <v>78</v>
      </c>
      <c r="O69" s="7" t="s">
        <v>79</v>
      </c>
      <c r="Q69" t="b">
        <v>1</v>
      </c>
    </row>
    <row r="70" spans="3:17" x14ac:dyDescent="0.25">
      <c r="C70" s="7"/>
      <c r="D70" t="str">
        <f>IF(Q70, L2&amp;D1&amp;D2&amp;F2&amp;D1&amp;N2&amp;G1&amp;F2&amp;D1&amp;C5&amp;G1&amp;C6&amp;E1&amp;C7&amp;G1, "")</f>
        <v>لَاتَسْتَكْرِمْ</v>
      </c>
      <c r="E70" t="str">
        <f>IF(Q70, D2&amp;E1&amp;N2&amp;G1&amp;F2&amp;D1&amp;C5&amp;G1&amp;C6&amp;E1&amp;C7&amp;G1, "")</f>
        <v>اِسْتَكْرِمْ</v>
      </c>
      <c r="F70" t="str">
        <f>IF(Q70, H2&amp;F1&amp;N2&amp;G1&amp;F2&amp;D1&amp;C5&amp;G1&amp;C6&amp;D1&amp;C7&amp;K1, "")</f>
        <v>مُسْتَكْرَمٌ</v>
      </c>
      <c r="G70" t="str">
        <f>IF(Q70, D2&amp;E1&amp;N2&amp;G1&amp;F2&amp;E1&amp;C5&amp;G1&amp;C6&amp;D1&amp;D2&amp;C7&amp;I1&amp;D2, "")</f>
        <v>اِسْتِكْرَامًا</v>
      </c>
      <c r="H70" t="str">
        <f>IF(Q70, I2&amp;F1&amp;N2&amp;G1&amp;F2&amp;D1&amp;C5&amp;G1&amp;C6&amp;D1&amp;C7&amp;F1, "")</f>
        <v>يُسْتَكْرَمُ</v>
      </c>
      <c r="I70" t="str">
        <f>IF(Q70, D2&amp;F1&amp;N2&amp;G1&amp;F2&amp;F1&amp;C5&amp;G1&amp;C6&amp;E1&amp;C7&amp;D1, "")</f>
        <v>اُسْتُكْرِمَ</v>
      </c>
      <c r="J70" t="str">
        <f>IF(Q70, H2&amp;F1&amp;N2&amp;G1&amp;F2&amp;D1&amp;C5&amp;G1&amp;C6&amp;E1&amp;C7&amp;K1, "")</f>
        <v>مُسْتَكْرِمٌ</v>
      </c>
      <c r="K70" t="str">
        <f>IF(Q70, D2&amp;E1&amp;N2&amp;G1&amp;F2&amp;E1&amp;C5&amp;G1&amp;C6&amp;D1&amp;D2&amp;C7&amp;I1&amp;D2, "")</f>
        <v>اِسْتِكْرَامًا</v>
      </c>
      <c r="L70" t="str">
        <f>IF(Q70, I2&amp;D1&amp;N2&amp;G1&amp;F2&amp;D1&amp;C5&amp;G1&amp;C6&amp;E1&amp;C7&amp;F1, "")</f>
        <v>يَسْتَكْرِمُ</v>
      </c>
      <c r="M70" t="str">
        <f>IF(Q70, D2&amp;E1&amp;N2&amp;G1&amp;F2&amp;D1&amp;C5&amp;G1&amp;C6&amp;D1&amp;C7&amp;D1, "")</f>
        <v>اِسْتَكْرَمَ</v>
      </c>
      <c r="N70" s="7" t="s">
        <v>80</v>
      </c>
      <c r="O70" s="7" t="s">
        <v>81</v>
      </c>
      <c r="Q70" t="b">
        <v>1</v>
      </c>
    </row>
    <row r="72" spans="3:17" x14ac:dyDescent="0.25">
      <c r="D72" s="2"/>
      <c r="E72" s="2"/>
      <c r="F72" s="2"/>
      <c r="G72" s="2"/>
      <c r="H72" s="2"/>
      <c r="I72" s="2"/>
      <c r="J72" s="2"/>
      <c r="K72" s="2"/>
      <c r="L72" s="2"/>
      <c r="M72" s="2"/>
    </row>
    <row r="78" spans="3:17" x14ac:dyDescent="0.25">
      <c r="D78" s="9"/>
      <c r="E78" s="9"/>
      <c r="F78" s="9"/>
      <c r="G78" s="9"/>
      <c r="H78" s="9"/>
      <c r="I78" s="9"/>
      <c r="J78" s="9"/>
      <c r="K78" s="9"/>
      <c r="L78" s="9"/>
      <c r="M78" s="9"/>
    </row>
  </sheetData>
  <mergeCells count="8">
    <mergeCell ref="D59:P59"/>
    <mergeCell ref="D52:I52"/>
    <mergeCell ref="D24:I24"/>
    <mergeCell ref="D28:I28"/>
    <mergeCell ref="D32:I32"/>
    <mergeCell ref="D36:I36"/>
    <mergeCell ref="D40:I40"/>
    <mergeCell ref="D46:I46"/>
  </mergeCells>
  <dataValidations count="3">
    <dataValidation type="list" allowBlank="1" showInputMessage="1" showErrorMessage="1" sqref="C1 C8" xr:uid="{E6C1986A-77A6-464E-AC7C-78B03EB7B0EE}">
      <formula1>"فَتَحَ-يَفْتَحُ,ضَرَبَ-يَضْرِبُ,نَصَرَ-يَنْصُرُ,سَمِعَ-يَسْمَعُ,كَرُمَ-يَكْرُمُ,حَسِبَ-يَحْسِبُ"</formula1>
    </dataValidation>
    <dataValidation type="list" allowBlank="1" showInputMessage="1" showErrorMessage="1" sqref="I3" xr:uid="{126CED98-085B-44DA-B90A-E6A6CE2B89FC}">
      <formula1>"أَنْ ,لَنْ , كَيْ , إِذَنْ "</formula1>
    </dataValidation>
    <dataValidation type="list" allowBlank="1" showInputMessage="1" showErrorMessage="1" sqref="H3" xr:uid="{7E7AFB76-BA7B-4049-BC6A-828C33130E0D}">
      <formula1>"لَمْ , لَمَّا ,لَا "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6" r:id="rId3" name="Check Box 12">
              <controlPr defaultSize="0" autoFill="0" autoLine="0" autoPict="0">
                <anchor moveWithCells="1">
                  <from>
                    <xdr:col>14</xdr:col>
                    <xdr:colOff>590550</xdr:colOff>
                    <xdr:row>59</xdr:row>
                    <xdr:rowOff>171450</xdr:rowOff>
                  </from>
                  <to>
                    <xdr:col>16</xdr:col>
                    <xdr:colOff>200025</xdr:colOff>
                    <xdr:row>61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4" name="Check Box 13">
              <controlPr defaultSize="0" autoFill="0" autoLine="0" autoPict="0">
                <anchor moveWithCells="1">
                  <from>
                    <xdr:col>14</xdr:col>
                    <xdr:colOff>590550</xdr:colOff>
                    <xdr:row>60</xdr:row>
                    <xdr:rowOff>171450</xdr:rowOff>
                  </from>
                  <to>
                    <xdr:col>16</xdr:col>
                    <xdr:colOff>200025</xdr:colOff>
                    <xdr:row>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5" name="Check Box 14">
              <controlPr defaultSize="0" autoFill="0" autoLine="0" autoPict="0">
                <anchor moveWithCells="1">
                  <from>
                    <xdr:col>14</xdr:col>
                    <xdr:colOff>590550</xdr:colOff>
                    <xdr:row>61</xdr:row>
                    <xdr:rowOff>171450</xdr:rowOff>
                  </from>
                  <to>
                    <xdr:col>16</xdr:col>
                    <xdr:colOff>200025</xdr:colOff>
                    <xdr:row>63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6" name="Check Box 15">
              <controlPr defaultSize="0" autoFill="0" autoLine="0" autoPict="0">
                <anchor moveWithCells="1">
                  <from>
                    <xdr:col>14</xdr:col>
                    <xdr:colOff>590550</xdr:colOff>
                    <xdr:row>62</xdr:row>
                    <xdr:rowOff>171450</xdr:rowOff>
                  </from>
                  <to>
                    <xdr:col>16</xdr:col>
                    <xdr:colOff>200025</xdr:colOff>
                    <xdr:row>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7" name="Check Box 16">
              <controlPr defaultSize="0" autoFill="0" autoLine="0" autoPict="0">
                <anchor moveWithCells="1">
                  <from>
                    <xdr:col>14</xdr:col>
                    <xdr:colOff>590550</xdr:colOff>
                    <xdr:row>63</xdr:row>
                    <xdr:rowOff>171450</xdr:rowOff>
                  </from>
                  <to>
                    <xdr:col>16</xdr:col>
                    <xdr:colOff>200025</xdr:colOff>
                    <xdr:row>65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8" name="Check Box 18">
              <controlPr defaultSize="0" autoFill="0" autoLine="0" autoPict="0">
                <anchor moveWithCells="1">
                  <from>
                    <xdr:col>14</xdr:col>
                    <xdr:colOff>590550</xdr:colOff>
                    <xdr:row>65</xdr:row>
                    <xdr:rowOff>171450</xdr:rowOff>
                  </from>
                  <to>
                    <xdr:col>16</xdr:col>
                    <xdr:colOff>200025</xdr:colOff>
                    <xdr:row>67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9" name="Check Box 19">
              <controlPr defaultSize="0" autoFill="0" autoLine="0" autoPict="0">
                <anchor moveWithCells="1">
                  <from>
                    <xdr:col>14</xdr:col>
                    <xdr:colOff>590550</xdr:colOff>
                    <xdr:row>66</xdr:row>
                    <xdr:rowOff>171450</xdr:rowOff>
                  </from>
                  <to>
                    <xdr:col>16</xdr:col>
                    <xdr:colOff>200025</xdr:colOff>
                    <xdr:row>68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0" name="Check Box 20">
              <controlPr defaultSize="0" autoFill="0" autoLine="0" autoPict="0">
                <anchor moveWithCells="1">
                  <from>
                    <xdr:col>14</xdr:col>
                    <xdr:colOff>590550</xdr:colOff>
                    <xdr:row>67</xdr:row>
                    <xdr:rowOff>171450</xdr:rowOff>
                  </from>
                  <to>
                    <xdr:col>16</xdr:col>
                    <xdr:colOff>200025</xdr:colOff>
                    <xdr:row>69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1" name="Check Box 21">
              <controlPr defaultSize="0" autoFill="0" autoLine="0" autoPict="0">
                <anchor moveWithCells="1">
                  <from>
                    <xdr:col>14</xdr:col>
                    <xdr:colOff>590550</xdr:colOff>
                    <xdr:row>68</xdr:row>
                    <xdr:rowOff>171450</xdr:rowOff>
                  </from>
                  <to>
                    <xdr:col>16</xdr:col>
                    <xdr:colOff>200025</xdr:colOff>
                    <xdr:row>70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2" name="Check Box 22">
              <controlPr defaultSize="0" autoFill="0" autoLine="0" autoPict="0">
                <anchor moveWithCells="1">
                  <from>
                    <xdr:col>3</xdr:col>
                    <xdr:colOff>581025</xdr:colOff>
                    <xdr:row>39</xdr:row>
                    <xdr:rowOff>161925</xdr:rowOff>
                  </from>
                  <to>
                    <xdr:col>4</xdr:col>
                    <xdr:colOff>485775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3" name="Check Box 23">
              <controlPr defaultSize="0" autoFill="0" autoLine="0" autoPict="0">
                <anchor moveWithCells="1">
                  <from>
                    <xdr:col>4</xdr:col>
                    <xdr:colOff>485775</xdr:colOff>
                    <xdr:row>39</xdr:row>
                    <xdr:rowOff>161925</xdr:rowOff>
                  </from>
                  <to>
                    <xdr:col>5</xdr:col>
                    <xdr:colOff>485775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4" name="Check Box 27">
              <controlPr defaultSize="0" autoFill="0" autoLine="0" autoPict="0">
                <anchor moveWithCells="1">
                  <from>
                    <xdr:col>5</xdr:col>
                    <xdr:colOff>590550</xdr:colOff>
                    <xdr:row>39</xdr:row>
                    <xdr:rowOff>161925</xdr:rowOff>
                  </from>
                  <to>
                    <xdr:col>6</xdr:col>
                    <xdr:colOff>495300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5" name="Check Box 28">
              <controlPr defaultSize="0" autoFill="0" autoLine="0" autoPict="0">
                <anchor moveWithCells="1">
                  <from>
                    <xdr:col>6</xdr:col>
                    <xdr:colOff>590550</xdr:colOff>
                    <xdr:row>39</xdr:row>
                    <xdr:rowOff>161925</xdr:rowOff>
                  </from>
                  <to>
                    <xdr:col>7</xdr:col>
                    <xdr:colOff>495300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6" name="Check Box 30">
              <controlPr defaultSize="0" autoFill="0" autoLine="0" autoPict="0">
                <anchor moveWithCells="1">
                  <from>
                    <xdr:col>7</xdr:col>
                    <xdr:colOff>590550</xdr:colOff>
                    <xdr:row>39</xdr:row>
                    <xdr:rowOff>171450</xdr:rowOff>
                  </from>
                  <to>
                    <xdr:col>8</xdr:col>
                    <xdr:colOff>495300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17" name="Check Box 39">
              <controlPr defaultSize="0" autoFill="0" autoLine="0" autoPict="0">
                <anchor moveWithCells="1">
                  <from>
                    <xdr:col>3</xdr:col>
                    <xdr:colOff>581025</xdr:colOff>
                    <xdr:row>45</xdr:row>
                    <xdr:rowOff>161925</xdr:rowOff>
                  </from>
                  <to>
                    <xdr:col>4</xdr:col>
                    <xdr:colOff>485775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18" name="Check Box 40">
              <controlPr defaultSize="0" autoFill="0" autoLine="0" autoPict="0">
                <anchor moveWithCells="1">
                  <from>
                    <xdr:col>4</xdr:col>
                    <xdr:colOff>485775</xdr:colOff>
                    <xdr:row>45</xdr:row>
                    <xdr:rowOff>152400</xdr:rowOff>
                  </from>
                  <to>
                    <xdr:col>5</xdr:col>
                    <xdr:colOff>485775</xdr:colOff>
                    <xdr:row>46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19" name="Check Box 41">
              <controlPr defaultSize="0" autoFill="0" autoLine="0" autoPict="0">
                <anchor moveWithCells="1">
                  <from>
                    <xdr:col>5</xdr:col>
                    <xdr:colOff>590550</xdr:colOff>
                    <xdr:row>45</xdr:row>
                    <xdr:rowOff>161925</xdr:rowOff>
                  </from>
                  <to>
                    <xdr:col>6</xdr:col>
                    <xdr:colOff>495300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20" name="Check Box 42">
              <controlPr defaultSize="0" autoFill="0" autoLine="0" autoPict="0">
                <anchor moveWithCells="1">
                  <from>
                    <xdr:col>6</xdr:col>
                    <xdr:colOff>590550</xdr:colOff>
                    <xdr:row>45</xdr:row>
                    <xdr:rowOff>161925</xdr:rowOff>
                  </from>
                  <to>
                    <xdr:col>7</xdr:col>
                    <xdr:colOff>495300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21" name="Check Box 43">
              <controlPr defaultSize="0" autoFill="0" autoLine="0" autoPict="0">
                <anchor moveWithCells="1">
                  <from>
                    <xdr:col>7</xdr:col>
                    <xdr:colOff>590550</xdr:colOff>
                    <xdr:row>45</xdr:row>
                    <xdr:rowOff>161925</xdr:rowOff>
                  </from>
                  <to>
                    <xdr:col>8</xdr:col>
                    <xdr:colOff>495300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22" name="Check Box 44">
              <controlPr defaultSize="0" autoFill="0" autoLine="0" autoPict="0">
                <anchor moveWithCells="1">
                  <from>
                    <xdr:col>3</xdr:col>
                    <xdr:colOff>581025</xdr:colOff>
                    <xdr:row>51</xdr:row>
                    <xdr:rowOff>161925</xdr:rowOff>
                  </from>
                  <to>
                    <xdr:col>4</xdr:col>
                    <xdr:colOff>485775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23" name="Check Box 46">
              <controlPr defaultSize="0" autoFill="0" autoLine="0" autoPict="0">
                <anchor moveWithCells="1">
                  <from>
                    <xdr:col>5</xdr:col>
                    <xdr:colOff>590550</xdr:colOff>
                    <xdr:row>51</xdr:row>
                    <xdr:rowOff>161925</xdr:rowOff>
                  </from>
                  <to>
                    <xdr:col>6</xdr:col>
                    <xdr:colOff>495300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24" name="Check Box 48">
              <controlPr defaultSize="0" autoFill="0" autoLine="0" autoPict="0">
                <anchor moveWithCells="1">
                  <from>
                    <xdr:col>7</xdr:col>
                    <xdr:colOff>590550</xdr:colOff>
                    <xdr:row>51</xdr:row>
                    <xdr:rowOff>171450</xdr:rowOff>
                  </from>
                  <to>
                    <xdr:col>8</xdr:col>
                    <xdr:colOff>495300</xdr:colOff>
                    <xdr:row>54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25" name="Check Box 51">
              <controlPr defaultSize="0" autoFill="0" autoLine="0" autoPict="0">
                <anchor moveWithCells="1">
                  <from>
                    <xdr:col>2</xdr:col>
                    <xdr:colOff>581025</xdr:colOff>
                    <xdr:row>45</xdr:row>
                    <xdr:rowOff>161925</xdr:rowOff>
                  </from>
                  <to>
                    <xdr:col>3</xdr:col>
                    <xdr:colOff>485775</xdr:colOff>
                    <xdr:row>47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6FA38-676B-4FCF-A691-CAD3704EA86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- Template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2025-12-13T10:10:43Z</dcterms:created>
  <dcterms:modified xsi:type="dcterms:W3CDTF">2026-08-26T09:29:15Z</dcterms:modified>
</cp:coreProperties>
</file>